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esang\PycharmProjects\convhwp\년도별합격정보\"/>
    </mc:Choice>
  </mc:AlternateContent>
  <xr:revisionPtr revIDLastSave="0" documentId="13_ncr:1_{2D4AAA1D-6DBF-4E7C-B8D0-016055D87439}" xr6:coauthVersionLast="47" xr6:coauthVersionMax="47" xr10:uidLastSave="{00000000-0000-0000-0000-000000000000}"/>
  <bookViews>
    <workbookView xWindow="8415" yWindow="1845" windowWidth="22755" windowHeight="12630" xr2:uid="{00000000-000D-0000-FFFF-FFFF00000000}"/>
  </bookViews>
  <sheets>
    <sheet name="2026최종정리(전분원)" sheetId="1" r:id="rId1"/>
    <sheet name="통계" sheetId="2" r:id="rId2"/>
  </sheets>
  <definedNames>
    <definedName name="_xlnm._FilterDatabase" localSheetId="0" hidden="1">'2026최종정리(전분원)'!$A$1:$F$323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2" l="1"/>
  <c r="M4" i="2"/>
  <c r="L5" i="2"/>
  <c r="M5" i="2"/>
  <c r="L6" i="2"/>
  <c r="M6" i="2"/>
  <c r="L7" i="2"/>
  <c r="M7" i="2"/>
  <c r="M3" i="2"/>
  <c r="E3" i="2"/>
  <c r="L3" i="2"/>
  <c r="D3" i="2"/>
  <c r="P4" i="2"/>
  <c r="Q4" i="2"/>
  <c r="P5" i="2"/>
  <c r="Q5" i="2"/>
  <c r="P6" i="2"/>
  <c r="Q6" i="2"/>
  <c r="P7" i="2"/>
  <c r="Q7" i="2"/>
  <c r="Q3" i="2"/>
  <c r="I3" i="2"/>
  <c r="P3" i="2"/>
  <c r="H3" i="2"/>
  <c r="H4" i="2"/>
  <c r="I4" i="2"/>
  <c r="H5" i="2"/>
  <c r="I5" i="2"/>
  <c r="H6" i="2"/>
  <c r="I6" i="2"/>
  <c r="H7" i="2"/>
  <c r="I7" i="2"/>
  <c r="P8" i="2" l="1"/>
  <c r="L9" i="2"/>
  <c r="M9" i="2"/>
  <c r="H8" i="2"/>
  <c r="I8" i="2"/>
  <c r="Q8" i="2"/>
  <c r="M8" i="2"/>
  <c r="I9" i="2"/>
  <c r="L8" i="2"/>
  <c r="H9" i="2"/>
  <c r="Q9" i="2"/>
  <c r="P9" i="2"/>
  <c r="K4" i="2"/>
  <c r="J4" i="2" s="1"/>
  <c r="K5" i="2"/>
  <c r="J5" i="2" s="1"/>
  <c r="K6" i="2"/>
  <c r="I17" i="2" s="1"/>
  <c r="K7" i="2"/>
  <c r="J7" i="2" s="1"/>
  <c r="K3" i="2"/>
  <c r="C3" i="2"/>
  <c r="J6" i="2" l="1"/>
  <c r="H17" i="2" s="1"/>
  <c r="J17" i="2"/>
  <c r="B3" i="2"/>
  <c r="J3" i="2"/>
  <c r="K9" i="2"/>
  <c r="K8" i="2"/>
  <c r="G7" i="2"/>
  <c r="G4" i="2"/>
  <c r="F4" i="2" s="1"/>
  <c r="O4" i="2"/>
  <c r="N4" i="2" s="1"/>
  <c r="X4" i="2"/>
  <c r="Y4" i="2"/>
  <c r="G5" i="2"/>
  <c r="O5" i="2"/>
  <c r="N5" i="2" s="1"/>
  <c r="X5" i="2"/>
  <c r="Y5" i="2"/>
  <c r="G6" i="2"/>
  <c r="O6" i="2"/>
  <c r="X6" i="2"/>
  <c r="Y6" i="2"/>
  <c r="O7" i="2"/>
  <c r="N7" i="2" s="1"/>
  <c r="X7" i="2"/>
  <c r="Y7" i="2"/>
  <c r="F6" i="2" l="1"/>
  <c r="E17" i="2" s="1"/>
  <c r="F17" i="2"/>
  <c r="G17" i="2"/>
  <c r="N6" i="2"/>
  <c r="K17" i="2" s="1"/>
  <c r="M17" i="2"/>
  <c r="L17" i="2"/>
  <c r="J8" i="2"/>
  <c r="J9" i="2"/>
  <c r="W5" i="2"/>
  <c r="W7" i="2"/>
  <c r="F7" i="2"/>
  <c r="V7" i="2" s="1"/>
  <c r="V4" i="2"/>
  <c r="W4" i="2"/>
  <c r="F5" i="2"/>
  <c r="V5" i="2" s="1"/>
  <c r="W6" i="2"/>
  <c r="S17" i="2" s="1"/>
  <c r="X3" i="2"/>
  <c r="Y3" i="2"/>
  <c r="S3" i="2"/>
  <c r="O3" i="2"/>
  <c r="G3" i="2"/>
  <c r="E4" i="2"/>
  <c r="E5" i="2"/>
  <c r="U5" i="2" s="1"/>
  <c r="AC5" i="2" s="1"/>
  <c r="E6" i="2"/>
  <c r="E7" i="2"/>
  <c r="U7" i="2" s="1"/>
  <c r="AC7" i="2" s="1"/>
  <c r="U3" i="2"/>
  <c r="D7" i="2"/>
  <c r="D4" i="2"/>
  <c r="D5" i="2"/>
  <c r="T5" i="2" s="1"/>
  <c r="AB5" i="2" s="1"/>
  <c r="D6" i="2"/>
  <c r="C7" i="2"/>
  <c r="C6" i="2"/>
  <c r="C5" i="2"/>
  <c r="C4" i="2"/>
  <c r="R17" i="2" l="1"/>
  <c r="T7" i="2"/>
  <c r="AB7" i="2" s="1"/>
  <c r="C18" i="2"/>
  <c r="V6" i="2"/>
  <c r="U6" i="2"/>
  <c r="D17" i="2"/>
  <c r="Q17" i="2"/>
  <c r="S7" i="2"/>
  <c r="AA7" i="2" s="1"/>
  <c r="V18" i="2" s="1"/>
  <c r="T6" i="2"/>
  <c r="C17" i="2"/>
  <c r="Y9" i="2"/>
  <c r="Y8" i="2"/>
  <c r="X9" i="2"/>
  <c r="X8" i="2"/>
  <c r="T4" i="2"/>
  <c r="AB4" i="2" s="1"/>
  <c r="D8" i="2"/>
  <c r="D9" i="2"/>
  <c r="C8" i="2"/>
  <c r="C9" i="2"/>
  <c r="U4" i="2"/>
  <c r="AC4" i="2" s="1"/>
  <c r="E8" i="2"/>
  <c r="E9" i="2"/>
  <c r="F3" i="2"/>
  <c r="G8" i="2"/>
  <c r="G19" i="2" s="1"/>
  <c r="G9" i="2"/>
  <c r="G20" i="2" s="1"/>
  <c r="N3" i="2"/>
  <c r="K14" i="2" s="1"/>
  <c r="O8" i="2"/>
  <c r="M19" i="2" s="1"/>
  <c r="O9" i="2"/>
  <c r="L20" i="2" s="1"/>
  <c r="AC3" i="2"/>
  <c r="W3" i="2"/>
  <c r="B7" i="2"/>
  <c r="B18" i="2" s="1"/>
  <c r="R3" i="2"/>
  <c r="T3" i="2"/>
  <c r="B5" i="2"/>
  <c r="B16" i="2" s="1"/>
  <c r="B4" i="2"/>
  <c r="R4" i="2" s="1"/>
  <c r="Z4" i="2" s="1"/>
  <c r="B6" i="2"/>
  <c r="B17" i="2" s="1"/>
  <c r="D15" i="2"/>
  <c r="J20" i="2"/>
  <c r="I20" i="2"/>
  <c r="H20" i="2"/>
  <c r="J19" i="2"/>
  <c r="I19" i="2"/>
  <c r="H19" i="2"/>
  <c r="S18" i="2"/>
  <c r="R18" i="2"/>
  <c r="Q18" i="2"/>
  <c r="M18" i="2"/>
  <c r="L18" i="2"/>
  <c r="K18" i="2"/>
  <c r="J18" i="2"/>
  <c r="I18" i="2"/>
  <c r="G18" i="2"/>
  <c r="F18" i="2"/>
  <c r="E18" i="2"/>
  <c r="D18" i="2"/>
  <c r="S16" i="2"/>
  <c r="R16" i="2"/>
  <c r="Q16" i="2"/>
  <c r="M16" i="2"/>
  <c r="L16" i="2"/>
  <c r="K16" i="2"/>
  <c r="G16" i="2"/>
  <c r="F16" i="2"/>
  <c r="E16" i="2"/>
  <c r="D16" i="2"/>
  <c r="C16" i="2"/>
  <c r="S15" i="2"/>
  <c r="R15" i="2"/>
  <c r="Q15" i="2"/>
  <c r="M15" i="2"/>
  <c r="L15" i="2"/>
  <c r="K15" i="2"/>
  <c r="G15" i="2"/>
  <c r="F15" i="2"/>
  <c r="E15" i="2"/>
  <c r="P14" i="2"/>
  <c r="M14" i="2"/>
  <c r="L14" i="2"/>
  <c r="J14" i="2"/>
  <c r="I14" i="2"/>
  <c r="H14" i="2"/>
  <c r="G14" i="2"/>
  <c r="F14" i="2"/>
  <c r="F20" i="2" l="1"/>
  <c r="O18" i="2"/>
  <c r="P18" i="2"/>
  <c r="AB6" i="2"/>
  <c r="M20" i="2"/>
  <c r="F19" i="2"/>
  <c r="D19" i="2"/>
  <c r="D20" i="2"/>
  <c r="AC6" i="2"/>
  <c r="AC8" i="2" s="1"/>
  <c r="U18" i="2"/>
  <c r="L19" i="2"/>
  <c r="C20" i="2"/>
  <c r="U9" i="2"/>
  <c r="U8" i="2"/>
  <c r="N9" i="2"/>
  <c r="K20" i="2" s="1"/>
  <c r="N8" i="2"/>
  <c r="K19" i="2" s="1"/>
  <c r="W9" i="2"/>
  <c r="W8" i="2"/>
  <c r="AB3" i="2"/>
  <c r="T8" i="2"/>
  <c r="T9" i="2"/>
  <c r="AA3" i="2"/>
  <c r="F8" i="2"/>
  <c r="E19" i="2" s="1"/>
  <c r="F9" i="2"/>
  <c r="E20" i="2" s="1"/>
  <c r="R14" i="2"/>
  <c r="V3" i="2"/>
  <c r="Q14" i="2" s="1"/>
  <c r="E14" i="2"/>
  <c r="S14" i="2"/>
  <c r="N14" i="2"/>
  <c r="O14" i="2"/>
  <c r="R7" i="2"/>
  <c r="Z7" i="2" s="1"/>
  <c r="T18" i="2" s="1"/>
  <c r="C19" i="2"/>
  <c r="S5" i="2"/>
  <c r="R5" i="2"/>
  <c r="Z5" i="2" s="1"/>
  <c r="I16" i="2"/>
  <c r="H15" i="2"/>
  <c r="I15" i="2"/>
  <c r="J15" i="2"/>
  <c r="J16" i="2"/>
  <c r="S4" i="2"/>
  <c r="S6" i="2"/>
  <c r="R6" i="2"/>
  <c r="Z6" i="2" s="1"/>
  <c r="H18" i="2"/>
  <c r="B9" i="2"/>
  <c r="B20" i="2" s="1"/>
  <c r="B8" i="2"/>
  <c r="B19" i="2" s="1"/>
  <c r="B15" i="2"/>
  <c r="C15" i="2"/>
  <c r="B14" i="2"/>
  <c r="C14" i="2"/>
  <c r="D14" i="2"/>
  <c r="P17" i="2" l="1"/>
  <c r="AA6" i="2"/>
  <c r="R8" i="2"/>
  <c r="AC9" i="2"/>
  <c r="R9" i="2"/>
  <c r="N18" i="2"/>
  <c r="T17" i="2"/>
  <c r="N17" i="2"/>
  <c r="V17" i="2"/>
  <c r="O17" i="2"/>
  <c r="U17" i="2"/>
  <c r="S8" i="2"/>
  <c r="N19" i="2" s="1"/>
  <c r="S9" i="2"/>
  <c r="S20" i="2"/>
  <c r="R20" i="2"/>
  <c r="U14" i="2"/>
  <c r="AB8" i="2"/>
  <c r="AB9" i="2"/>
  <c r="V8" i="2"/>
  <c r="V9" i="2"/>
  <c r="Q20" i="2" s="1"/>
  <c r="S19" i="2"/>
  <c r="Q19" i="2"/>
  <c r="R19" i="2"/>
  <c r="Z3" i="2"/>
  <c r="V14" i="2"/>
  <c r="AA4" i="2"/>
  <c r="T15" i="2" s="1"/>
  <c r="P15" i="2"/>
  <c r="O15" i="2"/>
  <c r="N15" i="2"/>
  <c r="H16" i="2"/>
  <c r="AA5" i="2"/>
  <c r="P16" i="2"/>
  <c r="O16" i="2"/>
  <c r="N16" i="2"/>
  <c r="O19" i="2" l="1"/>
  <c r="N20" i="2"/>
  <c r="O20" i="2"/>
  <c r="T14" i="2"/>
  <c r="Z8" i="2"/>
  <c r="P20" i="2"/>
  <c r="P19" i="2"/>
  <c r="AA9" i="2"/>
  <c r="U20" i="2" s="1"/>
  <c r="AA8" i="2"/>
  <c r="T19" i="2" s="1"/>
  <c r="T16" i="2"/>
  <c r="V16" i="2"/>
  <c r="Z9" i="2"/>
  <c r="U16" i="2"/>
  <c r="V15" i="2"/>
  <c r="U15" i="2"/>
  <c r="U19" i="2" l="1"/>
  <c r="V19" i="2"/>
  <c r="T20" i="2"/>
  <c r="V20" i="2"/>
</calcChain>
</file>

<file path=xl/sharedStrings.xml><?xml version="1.0" encoding="utf-8"?>
<sst xmlns="http://schemas.openxmlformats.org/spreadsheetml/2006/main" count="2020" uniqueCount="784">
  <si>
    <t>구분</t>
    <phoneticPr fontId="2" type="noConversion"/>
  </si>
  <si>
    <t>계열</t>
    <phoneticPr fontId="2" type="noConversion"/>
  </si>
  <si>
    <t>노원</t>
    <phoneticPr fontId="2" type="noConversion"/>
  </si>
  <si>
    <t>학사</t>
    <phoneticPr fontId="2" type="noConversion"/>
  </si>
  <si>
    <t>인문</t>
    <phoneticPr fontId="2" type="noConversion"/>
  </si>
  <si>
    <t>강남</t>
    <phoneticPr fontId="2" type="noConversion"/>
  </si>
  <si>
    <t>학사</t>
  </si>
  <si>
    <t>인문</t>
  </si>
  <si>
    <t>경제학</t>
    <phoneticPr fontId="2" type="noConversion"/>
  </si>
  <si>
    <t>일반</t>
  </si>
  <si>
    <t>기계공학</t>
    <phoneticPr fontId="2" type="noConversion"/>
  </si>
  <si>
    <t>일반</t>
    <phoneticPr fontId="2" type="noConversion"/>
  </si>
  <si>
    <t>자연</t>
    <phoneticPr fontId="2" type="noConversion"/>
  </si>
  <si>
    <t>컴퓨터공학</t>
    <phoneticPr fontId="2" type="noConversion"/>
  </si>
  <si>
    <t>가톨릭대</t>
    <phoneticPr fontId="2" type="noConversion"/>
  </si>
  <si>
    <t>건축학</t>
    <phoneticPr fontId="2" type="noConversion"/>
  </si>
  <si>
    <t>영어영문학</t>
    <phoneticPr fontId="2" type="noConversion"/>
  </si>
  <si>
    <t>국민대</t>
    <phoneticPr fontId="2" type="noConversion"/>
  </si>
  <si>
    <t>덕성여대</t>
  </si>
  <si>
    <t>생명과학</t>
    <phoneticPr fontId="2" type="noConversion"/>
  </si>
  <si>
    <t>건설환경공학</t>
    <phoneticPr fontId="2" type="noConversion"/>
  </si>
  <si>
    <t>홍익대</t>
    <phoneticPr fontId="2" type="noConversion"/>
  </si>
  <si>
    <t>금융수학</t>
    <phoneticPr fontId="2" type="noConversion"/>
  </si>
  <si>
    <t>수학</t>
    <phoneticPr fontId="2" type="noConversion"/>
  </si>
  <si>
    <t>생명화학공학</t>
  </si>
  <si>
    <t>정치외교학</t>
    <phoneticPr fontId="2" type="noConversion"/>
  </si>
  <si>
    <t>환경공학</t>
    <phoneticPr fontId="2" type="noConversion"/>
  </si>
  <si>
    <t>의상디자인</t>
  </si>
  <si>
    <t>지능형반도체융합전자</t>
    <phoneticPr fontId="2" type="noConversion"/>
  </si>
  <si>
    <t>정보보안암호수학</t>
    <phoneticPr fontId="2" type="noConversion"/>
  </si>
  <si>
    <t>강경철</t>
    <phoneticPr fontId="2" type="noConversion"/>
  </si>
  <si>
    <t>김동욱</t>
    <phoneticPr fontId="2" type="noConversion"/>
  </si>
  <si>
    <t>자연</t>
    <phoneticPr fontId="6" type="noConversion"/>
  </si>
  <si>
    <t>박수민</t>
    <phoneticPr fontId="2" type="noConversion"/>
  </si>
  <si>
    <t>전기공학</t>
    <phoneticPr fontId="2" type="noConversion"/>
  </si>
  <si>
    <t>미디어&amp;엔터테인먼트학</t>
    <phoneticPr fontId="2" type="noConversion"/>
  </si>
  <si>
    <t>이유진</t>
    <phoneticPr fontId="2" type="noConversion"/>
  </si>
  <si>
    <t>심리학</t>
    <phoneticPr fontId="2" type="noConversion"/>
  </si>
  <si>
    <t>인문사회계열</t>
    <phoneticPr fontId="2" type="noConversion"/>
  </si>
  <si>
    <t>김상엽</t>
    <phoneticPr fontId="2" type="noConversion"/>
  </si>
  <si>
    <t>고병현</t>
    <phoneticPr fontId="2" type="noConversion"/>
  </si>
  <si>
    <t>권민석</t>
    <phoneticPr fontId="2" type="noConversion"/>
  </si>
  <si>
    <t>권예원</t>
    <phoneticPr fontId="2" type="noConversion"/>
  </si>
  <si>
    <t>권한울</t>
    <phoneticPr fontId="2" type="noConversion"/>
  </si>
  <si>
    <t>김동민</t>
    <phoneticPr fontId="2" type="noConversion"/>
  </si>
  <si>
    <t>김민관</t>
    <phoneticPr fontId="2" type="noConversion"/>
  </si>
  <si>
    <t>식품생명공학</t>
    <phoneticPr fontId="2" type="noConversion"/>
  </si>
  <si>
    <t>체육교육학</t>
    <phoneticPr fontId="2" type="noConversion"/>
  </si>
  <si>
    <t>김연수</t>
    <phoneticPr fontId="2" type="noConversion"/>
  </si>
  <si>
    <t>바이오공학</t>
    <phoneticPr fontId="2" type="noConversion"/>
  </si>
  <si>
    <t>융합응용화학</t>
    <phoneticPr fontId="2" type="noConversion"/>
  </si>
  <si>
    <t>김태량</t>
    <phoneticPr fontId="2" type="noConversion"/>
  </si>
  <si>
    <t>김태선</t>
    <phoneticPr fontId="2" type="noConversion"/>
  </si>
  <si>
    <t>나유리</t>
    <phoneticPr fontId="2" type="noConversion"/>
  </si>
  <si>
    <t>류하영</t>
    <phoneticPr fontId="2" type="noConversion"/>
  </si>
  <si>
    <t>간호학</t>
    <phoneticPr fontId="2" type="noConversion"/>
  </si>
  <si>
    <t>배유진</t>
    <phoneticPr fontId="2" type="noConversion"/>
  </si>
  <si>
    <t>이름</t>
    <phoneticPr fontId="2" type="noConversion"/>
  </si>
  <si>
    <t>분원</t>
    <phoneticPr fontId="2" type="noConversion"/>
  </si>
  <si>
    <t>최종학과</t>
    <phoneticPr fontId="2" type="noConversion"/>
  </si>
  <si>
    <t>노원</t>
    <phoneticPr fontId="2" type="noConversion"/>
  </si>
  <si>
    <t>일반</t>
    <phoneticPr fontId="2" type="noConversion"/>
  </si>
  <si>
    <t>자연</t>
    <phoneticPr fontId="2" type="noConversion"/>
  </si>
  <si>
    <t>전자공학</t>
    <phoneticPr fontId="2" type="noConversion"/>
  </si>
  <si>
    <t>구도현</t>
    <phoneticPr fontId="2" type="noConversion"/>
  </si>
  <si>
    <t>명지대</t>
    <phoneticPr fontId="2" type="noConversion"/>
  </si>
  <si>
    <t>경제학</t>
    <phoneticPr fontId="2" type="noConversion"/>
  </si>
  <si>
    <t>권민규</t>
    <phoneticPr fontId="2" type="noConversion"/>
  </si>
  <si>
    <t>일반</t>
    <phoneticPr fontId="2" type="noConversion"/>
  </si>
  <si>
    <t>자연</t>
    <phoneticPr fontId="2" type="noConversion"/>
  </si>
  <si>
    <t>숭실대</t>
    <phoneticPr fontId="2" type="noConversion"/>
  </si>
  <si>
    <t>전자정보공학</t>
    <phoneticPr fontId="2" type="noConversion"/>
  </si>
  <si>
    <t>권영웅</t>
    <phoneticPr fontId="2" type="noConversion"/>
  </si>
  <si>
    <t>학사</t>
    <phoneticPr fontId="2" type="noConversion"/>
  </si>
  <si>
    <t>수학</t>
    <phoneticPr fontId="2" type="noConversion"/>
  </si>
  <si>
    <t>학사</t>
    <phoneticPr fontId="2" type="noConversion"/>
  </si>
  <si>
    <t>광운대</t>
    <phoneticPr fontId="2" type="noConversion"/>
  </si>
  <si>
    <t>국민대</t>
    <phoneticPr fontId="2" type="noConversion"/>
  </si>
  <si>
    <t>김규린</t>
    <phoneticPr fontId="2" type="noConversion"/>
  </si>
  <si>
    <t>인문</t>
    <phoneticPr fontId="2" type="noConversion"/>
  </si>
  <si>
    <t>국어국문학</t>
    <phoneticPr fontId="2" type="noConversion"/>
  </si>
  <si>
    <t>노원</t>
    <phoneticPr fontId="2" type="noConversion"/>
  </si>
  <si>
    <t>경희대</t>
    <phoneticPr fontId="2" type="noConversion"/>
  </si>
  <si>
    <t>동국대</t>
    <phoneticPr fontId="2" type="noConversion"/>
  </si>
  <si>
    <t>인문</t>
    <phoneticPr fontId="2" type="noConversion"/>
  </si>
  <si>
    <t>성균관대</t>
    <phoneticPr fontId="2" type="noConversion"/>
  </si>
  <si>
    <t>홍익대</t>
    <phoneticPr fontId="2" type="noConversion"/>
  </si>
  <si>
    <t>숙명여대</t>
    <phoneticPr fontId="2" type="noConversion"/>
  </si>
  <si>
    <t>김대한</t>
    <phoneticPr fontId="2" type="noConversion"/>
  </si>
  <si>
    <t>건국대</t>
    <phoneticPr fontId="2" type="noConversion"/>
  </si>
  <si>
    <t>컴퓨터공학</t>
    <phoneticPr fontId="2" type="noConversion"/>
  </si>
  <si>
    <t>세종대</t>
    <phoneticPr fontId="2" type="noConversion"/>
  </si>
  <si>
    <t>한국공학대</t>
    <phoneticPr fontId="2" type="noConversion"/>
  </si>
  <si>
    <t>김성윤</t>
    <phoneticPr fontId="2" type="noConversion"/>
  </si>
  <si>
    <t>경기대</t>
    <phoneticPr fontId="2" type="noConversion"/>
  </si>
  <si>
    <t>신소재화학공학</t>
    <phoneticPr fontId="2" type="noConversion"/>
  </si>
  <si>
    <t>김성후</t>
    <phoneticPr fontId="2" type="noConversion"/>
  </si>
  <si>
    <t>신소재공학</t>
    <phoneticPr fontId="2" type="noConversion"/>
  </si>
  <si>
    <t>한국항공대</t>
    <phoneticPr fontId="2" type="noConversion"/>
  </si>
  <si>
    <t>신소재공학</t>
    <phoneticPr fontId="2" type="noConversion"/>
  </si>
  <si>
    <t>홍익대</t>
    <phoneticPr fontId="2" type="noConversion"/>
  </si>
  <si>
    <t>김시원</t>
    <phoneticPr fontId="2" type="noConversion"/>
  </si>
  <si>
    <t>식품영양학</t>
    <phoneticPr fontId="2" type="noConversion"/>
  </si>
  <si>
    <t>환경공학</t>
    <phoneticPr fontId="2" type="noConversion"/>
  </si>
  <si>
    <t>김예림</t>
    <phoneticPr fontId="2" type="noConversion"/>
  </si>
  <si>
    <t>김윤서</t>
    <phoneticPr fontId="2" type="noConversion"/>
  </si>
  <si>
    <t>덕성여대</t>
    <phoneticPr fontId="2" type="noConversion"/>
  </si>
  <si>
    <t>사학</t>
    <phoneticPr fontId="2" type="noConversion"/>
  </si>
  <si>
    <t>삼육대</t>
    <phoneticPr fontId="2" type="noConversion"/>
  </si>
  <si>
    <t>김지혜</t>
    <phoneticPr fontId="2" type="noConversion"/>
  </si>
  <si>
    <t>영어영문학</t>
    <phoneticPr fontId="2" type="noConversion"/>
  </si>
  <si>
    <t>김지혜B</t>
    <phoneticPr fontId="2" type="noConversion"/>
  </si>
  <si>
    <t>김태양</t>
    <phoneticPr fontId="2" type="noConversion"/>
  </si>
  <si>
    <t>김태은</t>
    <phoneticPr fontId="2" type="noConversion"/>
  </si>
  <si>
    <t>김평호</t>
    <phoneticPr fontId="2" type="noConversion"/>
  </si>
  <si>
    <t>기계항공공학</t>
    <phoneticPr fontId="2" type="noConversion"/>
  </si>
  <si>
    <t>김현규</t>
    <phoneticPr fontId="2" type="noConversion"/>
  </si>
  <si>
    <t>전기전자공학</t>
    <phoneticPr fontId="2" type="noConversion"/>
  </si>
  <si>
    <t>가천대</t>
    <phoneticPr fontId="2" type="noConversion"/>
  </si>
  <si>
    <t>전자공학</t>
    <phoneticPr fontId="2" type="noConversion"/>
  </si>
  <si>
    <t>아주대</t>
    <phoneticPr fontId="2" type="noConversion"/>
  </si>
  <si>
    <t>전자전기공학</t>
    <phoneticPr fontId="2" type="noConversion"/>
  </si>
  <si>
    <t>인하대</t>
    <phoneticPr fontId="2" type="noConversion"/>
  </si>
  <si>
    <t>나정민</t>
    <phoneticPr fontId="2" type="noConversion"/>
  </si>
  <si>
    <t>한성대</t>
    <phoneticPr fontId="2" type="noConversion"/>
  </si>
  <si>
    <t>서울여대</t>
    <phoneticPr fontId="2" type="noConversion"/>
  </si>
  <si>
    <t>개인정보보호</t>
    <phoneticPr fontId="2" type="noConversion"/>
  </si>
  <si>
    <t>노서진</t>
    <phoneticPr fontId="2" type="noConversion"/>
  </si>
  <si>
    <t>유아교육</t>
    <phoneticPr fontId="2" type="noConversion"/>
  </si>
  <si>
    <t>박시하</t>
    <phoneticPr fontId="2" type="noConversion"/>
  </si>
  <si>
    <t>국제통상학</t>
    <phoneticPr fontId="2" type="noConversion"/>
  </si>
  <si>
    <t>명지대</t>
    <phoneticPr fontId="2" type="noConversion"/>
  </si>
  <si>
    <t>크리에이티브인문학</t>
    <phoneticPr fontId="2" type="noConversion"/>
  </si>
  <si>
    <t>박여울</t>
    <phoneticPr fontId="2" type="noConversion"/>
  </si>
  <si>
    <t>경영학</t>
    <phoneticPr fontId="2" type="noConversion"/>
  </si>
  <si>
    <t>박예한</t>
    <phoneticPr fontId="2" type="noConversion"/>
  </si>
  <si>
    <t>법학</t>
    <phoneticPr fontId="2" type="noConversion"/>
  </si>
  <si>
    <t>정치외교학</t>
    <phoneticPr fontId="2" type="noConversion"/>
  </si>
  <si>
    <t>박준</t>
    <phoneticPr fontId="2" type="noConversion"/>
  </si>
  <si>
    <t>생명시스템학</t>
    <phoneticPr fontId="2" type="noConversion"/>
  </si>
  <si>
    <t>성서하</t>
    <phoneticPr fontId="2" type="noConversion"/>
  </si>
  <si>
    <t>공간정보공학</t>
    <phoneticPr fontId="2" type="noConversion"/>
  </si>
  <si>
    <t>신예준</t>
    <phoneticPr fontId="2" type="noConversion"/>
  </si>
  <si>
    <t>국민대</t>
    <phoneticPr fontId="2" type="noConversion"/>
  </si>
  <si>
    <t>오종혁</t>
    <phoneticPr fontId="2" type="noConversion"/>
  </si>
  <si>
    <t>단국대</t>
    <phoneticPr fontId="2" type="noConversion"/>
  </si>
  <si>
    <t>오지훈</t>
    <phoneticPr fontId="2" type="noConversion"/>
  </si>
  <si>
    <t>중앙대</t>
    <phoneticPr fontId="2" type="noConversion"/>
  </si>
  <si>
    <t>공공인재학</t>
    <phoneticPr fontId="2" type="noConversion"/>
  </si>
  <si>
    <t>윤산</t>
    <phoneticPr fontId="2" type="noConversion"/>
  </si>
  <si>
    <t>이강인</t>
    <phoneticPr fontId="2" type="noConversion"/>
  </si>
  <si>
    <t>기계공학</t>
    <phoneticPr fontId="2" type="noConversion"/>
  </si>
  <si>
    <t>이대현</t>
    <phoneticPr fontId="2" type="noConversion"/>
  </si>
  <si>
    <t>가천대</t>
    <phoneticPr fontId="2" type="noConversion"/>
  </si>
  <si>
    <t>한방생명공학</t>
    <phoneticPr fontId="2" type="noConversion"/>
  </si>
  <si>
    <t>이동규</t>
    <phoneticPr fontId="2" type="noConversion"/>
  </si>
  <si>
    <t>생명과학</t>
    <phoneticPr fontId="2" type="noConversion"/>
  </si>
  <si>
    <t>이동찬</t>
    <phoneticPr fontId="2" type="noConversion"/>
  </si>
  <si>
    <t>경기대</t>
    <phoneticPr fontId="2" type="noConversion"/>
  </si>
  <si>
    <t>임동섭</t>
    <phoneticPr fontId="2" type="noConversion"/>
  </si>
  <si>
    <t>디지털미디어학</t>
    <phoneticPr fontId="2" type="noConversion"/>
  </si>
  <si>
    <t>미디어커뮤니케이션학</t>
    <phoneticPr fontId="2" type="noConversion"/>
  </si>
  <si>
    <t>임서연</t>
    <phoneticPr fontId="2" type="noConversion"/>
  </si>
  <si>
    <t>생물공학</t>
    <phoneticPr fontId="2" type="noConversion"/>
  </si>
  <si>
    <t>화학</t>
    <phoneticPr fontId="2" type="noConversion"/>
  </si>
  <si>
    <t>임채영</t>
    <phoneticPr fontId="2" type="noConversion"/>
  </si>
  <si>
    <t>합격대학모름</t>
    <phoneticPr fontId="2" type="noConversion"/>
  </si>
  <si>
    <t>정의경</t>
    <phoneticPr fontId="2" type="noConversion"/>
  </si>
  <si>
    <t>경희대</t>
    <phoneticPr fontId="2" type="noConversion"/>
  </si>
  <si>
    <t>응용물리학</t>
    <phoneticPr fontId="2" type="noConversion"/>
  </si>
  <si>
    <t>조나영</t>
    <phoneticPr fontId="2" type="noConversion"/>
  </si>
  <si>
    <t>글로벌패션산업학</t>
    <phoneticPr fontId="2" type="noConversion"/>
  </si>
  <si>
    <t>조연주</t>
    <phoneticPr fontId="2" type="noConversion"/>
  </si>
  <si>
    <t>영미어문학</t>
    <phoneticPr fontId="2" type="noConversion"/>
  </si>
  <si>
    <t>조윤서</t>
    <phoneticPr fontId="2" type="noConversion"/>
  </si>
  <si>
    <t>한국외대</t>
    <phoneticPr fontId="2" type="noConversion"/>
  </si>
  <si>
    <t>서울대</t>
    <phoneticPr fontId="2" type="noConversion"/>
  </si>
  <si>
    <t>산업인력개발학</t>
    <phoneticPr fontId="2" type="noConversion"/>
  </si>
  <si>
    <t>응용통계학</t>
    <phoneticPr fontId="2" type="noConversion"/>
  </si>
  <si>
    <t>조혜리</t>
    <phoneticPr fontId="2" type="noConversion"/>
  </si>
  <si>
    <t>한양대</t>
    <phoneticPr fontId="2" type="noConversion"/>
  </si>
  <si>
    <t>의생명공학</t>
    <phoneticPr fontId="2" type="noConversion"/>
  </si>
  <si>
    <t>화학공학</t>
    <phoneticPr fontId="2" type="noConversion"/>
  </si>
  <si>
    <t>최민성</t>
    <phoneticPr fontId="2" type="noConversion"/>
  </si>
  <si>
    <t>건설환경공학</t>
    <phoneticPr fontId="2" type="noConversion"/>
  </si>
  <si>
    <t>사회복지학</t>
    <phoneticPr fontId="2" type="noConversion"/>
  </si>
  <si>
    <t>최여원</t>
    <phoneticPr fontId="2" type="noConversion"/>
  </si>
  <si>
    <t>최현서</t>
    <phoneticPr fontId="2" type="noConversion"/>
  </si>
  <si>
    <t>한상빈</t>
    <phoneticPr fontId="2" type="noConversion"/>
  </si>
  <si>
    <t>합격</t>
  </si>
  <si>
    <t>성정민</t>
    <phoneticPr fontId="2" type="noConversion"/>
  </si>
  <si>
    <t>자연</t>
    <phoneticPr fontId="2" type="noConversion"/>
  </si>
  <si>
    <t>일반</t>
    <phoneticPr fontId="2" type="noConversion"/>
  </si>
  <si>
    <t>강남</t>
    <phoneticPr fontId="2" type="noConversion"/>
  </si>
  <si>
    <t>인문</t>
    <phoneticPr fontId="2" type="noConversion"/>
  </si>
  <si>
    <t>의류학</t>
    <phoneticPr fontId="2" type="noConversion"/>
  </si>
  <si>
    <t>강남</t>
    <phoneticPr fontId="2" type="noConversion"/>
  </si>
  <si>
    <t>기계공학</t>
    <phoneticPr fontId="2" type="noConversion"/>
  </si>
  <si>
    <t>학사</t>
    <phoneticPr fontId="2" type="noConversion"/>
  </si>
  <si>
    <t>경영학</t>
    <phoneticPr fontId="2" type="noConversion"/>
  </si>
  <si>
    <t>권형주</t>
    <phoneticPr fontId="2" type="noConversion"/>
  </si>
  <si>
    <t>김규리</t>
    <phoneticPr fontId="2" type="noConversion"/>
  </si>
  <si>
    <t>김도연</t>
    <phoneticPr fontId="2" type="noConversion"/>
  </si>
  <si>
    <t>김민규</t>
    <phoneticPr fontId="2" type="noConversion"/>
  </si>
  <si>
    <t>화공생명공학</t>
    <phoneticPr fontId="2" type="noConversion"/>
  </si>
  <si>
    <t>김서연</t>
    <phoneticPr fontId="2" type="noConversion"/>
  </si>
  <si>
    <t>김서현</t>
    <phoneticPr fontId="2" type="noConversion"/>
  </si>
  <si>
    <t>김수영</t>
    <phoneticPr fontId="2" type="noConversion"/>
  </si>
  <si>
    <t>지능형ICT융합</t>
    <phoneticPr fontId="2" type="noConversion"/>
  </si>
  <si>
    <t>김승현</t>
    <phoneticPr fontId="2" type="noConversion"/>
  </si>
  <si>
    <t>체육교육학</t>
    <phoneticPr fontId="2" type="noConversion"/>
  </si>
  <si>
    <t>김윤</t>
    <phoneticPr fontId="2" type="noConversion"/>
  </si>
  <si>
    <t>심리학</t>
    <phoneticPr fontId="2" type="noConversion"/>
  </si>
  <si>
    <t>김정은</t>
    <phoneticPr fontId="2" type="noConversion"/>
  </si>
  <si>
    <t>김지민</t>
    <phoneticPr fontId="2" type="noConversion"/>
  </si>
  <si>
    <t>김지연</t>
  </si>
  <si>
    <t>김지윤</t>
    <phoneticPr fontId="2" type="noConversion"/>
  </si>
  <si>
    <t>김진하</t>
    <phoneticPr fontId="2" type="noConversion"/>
  </si>
  <si>
    <t>김청명</t>
    <phoneticPr fontId="2" type="noConversion"/>
  </si>
  <si>
    <t>AI인공지능학</t>
    <phoneticPr fontId="2" type="noConversion"/>
  </si>
  <si>
    <t>김한비</t>
    <phoneticPr fontId="2" type="noConversion"/>
  </si>
  <si>
    <t>디지털콘텐츠</t>
    <phoneticPr fontId="2" type="noConversion"/>
  </si>
  <si>
    <t>고분자공학</t>
    <phoneticPr fontId="2" type="noConversion"/>
  </si>
  <si>
    <t>노강민</t>
    <phoneticPr fontId="2" type="noConversion"/>
  </si>
  <si>
    <t>문헌정보학</t>
    <phoneticPr fontId="2" type="noConversion"/>
  </si>
  <si>
    <t>문지윤</t>
    <phoneticPr fontId="2" type="noConversion"/>
  </si>
  <si>
    <t>독어독문학</t>
    <phoneticPr fontId="2" type="noConversion"/>
  </si>
  <si>
    <t>문찬식</t>
    <phoneticPr fontId="2" type="noConversion"/>
  </si>
  <si>
    <t>박고은</t>
    <phoneticPr fontId="2" type="noConversion"/>
  </si>
  <si>
    <t>간호학</t>
    <phoneticPr fontId="2" type="noConversion"/>
  </si>
  <si>
    <t>박세현</t>
    <phoneticPr fontId="2" type="noConversion"/>
  </si>
  <si>
    <t>건축공학</t>
    <phoneticPr fontId="2" type="noConversion"/>
  </si>
  <si>
    <t>건축학</t>
    <phoneticPr fontId="2" type="noConversion"/>
  </si>
  <si>
    <t>박소정</t>
    <phoneticPr fontId="2" type="noConversion"/>
  </si>
  <si>
    <t>박소현</t>
  </si>
  <si>
    <t>학사</t>
    <phoneticPr fontId="2" type="noConversion"/>
  </si>
  <si>
    <t>박예슬</t>
    <phoneticPr fontId="2" type="noConversion"/>
  </si>
  <si>
    <t>반도체공학</t>
    <phoneticPr fontId="2" type="noConversion"/>
  </si>
  <si>
    <t>박예진</t>
    <phoneticPr fontId="2" type="noConversion"/>
  </si>
  <si>
    <t>박은찬</t>
    <phoneticPr fontId="2" type="noConversion"/>
  </si>
  <si>
    <t>박현민</t>
    <phoneticPr fontId="2" type="noConversion"/>
  </si>
  <si>
    <t>방민서</t>
  </si>
  <si>
    <t>일반</t>
    <phoneticPr fontId="2" type="noConversion"/>
  </si>
  <si>
    <t>자연</t>
  </si>
  <si>
    <t>방지민</t>
  </si>
  <si>
    <t>법학과</t>
    <phoneticPr fontId="2" type="noConversion"/>
  </si>
  <si>
    <t>배서연</t>
    <phoneticPr fontId="2" type="noConversion"/>
  </si>
  <si>
    <t>스포츠레저산업</t>
    <phoneticPr fontId="2" type="noConversion"/>
  </si>
  <si>
    <t>백호현</t>
    <phoneticPr fontId="2" type="noConversion"/>
  </si>
  <si>
    <t>서현주</t>
    <phoneticPr fontId="2" type="noConversion"/>
  </si>
  <si>
    <t>공간디자인</t>
    <phoneticPr fontId="2" type="noConversion"/>
  </si>
  <si>
    <t>송서윤</t>
    <phoneticPr fontId="2" type="noConversion"/>
  </si>
  <si>
    <t>송예은</t>
    <phoneticPr fontId="2" type="noConversion"/>
  </si>
  <si>
    <t>지능정보양자공학</t>
    <phoneticPr fontId="2" type="noConversion"/>
  </si>
  <si>
    <t>안상혁</t>
    <phoneticPr fontId="2" type="noConversion"/>
  </si>
  <si>
    <t>안승현</t>
    <phoneticPr fontId="2" type="noConversion"/>
  </si>
  <si>
    <t>양서연</t>
    <phoneticPr fontId="2" type="noConversion"/>
  </si>
  <si>
    <t>에너시시스템공학</t>
    <phoneticPr fontId="2" type="noConversion"/>
  </si>
  <si>
    <t>오윤희</t>
    <phoneticPr fontId="2" type="noConversion"/>
  </si>
  <si>
    <t>철학</t>
    <phoneticPr fontId="2" type="noConversion"/>
  </si>
  <si>
    <t>우량경</t>
    <phoneticPr fontId="2" type="noConversion"/>
  </si>
  <si>
    <t>우주항공드론공학</t>
    <phoneticPr fontId="2" type="noConversion"/>
  </si>
  <si>
    <t>물리학</t>
    <phoneticPr fontId="2" type="noConversion"/>
  </si>
  <si>
    <t>윤건웅</t>
    <phoneticPr fontId="2" type="noConversion"/>
  </si>
  <si>
    <t>이광영</t>
    <phoneticPr fontId="2" type="noConversion"/>
  </si>
  <si>
    <t>이기림</t>
    <phoneticPr fontId="2" type="noConversion"/>
  </si>
  <si>
    <t>이기성</t>
    <phoneticPr fontId="2" type="noConversion"/>
  </si>
  <si>
    <t>광고홍보학</t>
    <phoneticPr fontId="2" type="noConversion"/>
  </si>
  <si>
    <t>이상민</t>
    <phoneticPr fontId="2" type="noConversion"/>
  </si>
  <si>
    <t>항공우주공학</t>
    <phoneticPr fontId="2" type="noConversion"/>
  </si>
  <si>
    <t>이상헌</t>
    <phoneticPr fontId="2" type="noConversion"/>
  </si>
  <si>
    <t>에너지시스템공학</t>
    <phoneticPr fontId="2" type="noConversion"/>
  </si>
  <si>
    <t>이서진</t>
    <phoneticPr fontId="2" type="noConversion"/>
  </si>
  <si>
    <t>이소정</t>
    <phoneticPr fontId="2" type="noConversion"/>
  </si>
  <si>
    <t>중어중문학</t>
    <phoneticPr fontId="2" type="noConversion"/>
  </si>
  <si>
    <t>이수빈2</t>
    <phoneticPr fontId="2" type="noConversion"/>
  </si>
  <si>
    <t>아동학</t>
    <phoneticPr fontId="2" type="noConversion"/>
  </si>
  <si>
    <t>이승민</t>
  </si>
  <si>
    <t>프랑스어문학</t>
    <phoneticPr fontId="2" type="noConversion"/>
  </si>
  <si>
    <t>이예은</t>
  </si>
  <si>
    <t>이일형</t>
    <phoneticPr fontId="2" type="noConversion"/>
  </si>
  <si>
    <t>무역학</t>
    <phoneticPr fontId="2" type="noConversion"/>
  </si>
  <si>
    <t>이정미</t>
    <phoneticPr fontId="2" type="noConversion"/>
  </si>
  <si>
    <t>생명화학공학</t>
    <phoneticPr fontId="2" type="noConversion"/>
  </si>
  <si>
    <t>이주찬</t>
    <phoneticPr fontId="2" type="noConversion"/>
  </si>
  <si>
    <t>일어일문학</t>
    <phoneticPr fontId="2" type="noConversion"/>
  </si>
  <si>
    <t>이하경</t>
    <phoneticPr fontId="2" type="noConversion"/>
  </si>
  <si>
    <t>융합응용화학</t>
    <phoneticPr fontId="2" type="noConversion"/>
  </si>
  <si>
    <t>이혁재</t>
    <phoneticPr fontId="2" type="noConversion"/>
  </si>
  <si>
    <t>교통공학</t>
    <phoneticPr fontId="2" type="noConversion"/>
  </si>
  <si>
    <t>이현규</t>
    <phoneticPr fontId="2" type="noConversion"/>
  </si>
  <si>
    <t>동물자원</t>
    <phoneticPr fontId="2" type="noConversion"/>
  </si>
  <si>
    <t>이현석</t>
    <phoneticPr fontId="2" type="noConversion"/>
  </si>
  <si>
    <t>기계시스템디자인공학</t>
    <phoneticPr fontId="2" type="noConversion"/>
  </si>
  <si>
    <t>임수민</t>
    <phoneticPr fontId="2" type="noConversion"/>
  </si>
  <si>
    <t>정태훈</t>
    <phoneticPr fontId="2" type="noConversion"/>
  </si>
  <si>
    <t>조민선</t>
    <phoneticPr fontId="2" type="noConversion"/>
  </si>
  <si>
    <t>조아연</t>
    <phoneticPr fontId="2" type="noConversion"/>
  </si>
  <si>
    <t>영미인문학</t>
    <phoneticPr fontId="2" type="noConversion"/>
  </si>
  <si>
    <t>조은향</t>
    <phoneticPr fontId="2" type="noConversion"/>
  </si>
  <si>
    <t>전기공학</t>
    <phoneticPr fontId="2" type="noConversion"/>
  </si>
  <si>
    <t>지은성</t>
    <phoneticPr fontId="2" type="noConversion"/>
  </si>
  <si>
    <t>최수진</t>
    <phoneticPr fontId="2" type="noConversion"/>
  </si>
  <si>
    <t>최원재</t>
    <phoneticPr fontId="2" type="noConversion"/>
  </si>
  <si>
    <t>최정연</t>
    <phoneticPr fontId="2" type="noConversion"/>
  </si>
  <si>
    <t>화공생명공학</t>
    <phoneticPr fontId="2" type="noConversion"/>
  </si>
  <si>
    <t>표승현</t>
    <phoneticPr fontId="2" type="noConversion"/>
  </si>
  <si>
    <t>현지원</t>
    <phoneticPr fontId="2" type="noConversion"/>
  </si>
  <si>
    <t>홍예지</t>
    <phoneticPr fontId="2" type="noConversion"/>
  </si>
  <si>
    <t>홍은지</t>
    <phoneticPr fontId="2" type="noConversion"/>
  </si>
  <si>
    <t>홍지수</t>
    <phoneticPr fontId="2" type="noConversion"/>
  </si>
  <si>
    <t>황성희</t>
    <phoneticPr fontId="2" type="noConversion"/>
  </si>
  <si>
    <t>평생교육학</t>
    <phoneticPr fontId="2" type="noConversion"/>
  </si>
  <si>
    <t>황승주</t>
    <phoneticPr fontId="2" type="noConversion"/>
  </si>
  <si>
    <t>일산</t>
    <phoneticPr fontId="2" type="noConversion"/>
  </si>
  <si>
    <t>학사</t>
    <phoneticPr fontId="2" type="noConversion"/>
  </si>
  <si>
    <t>자연</t>
    <phoneticPr fontId="2" type="noConversion"/>
  </si>
  <si>
    <t>가천대</t>
    <phoneticPr fontId="2" type="noConversion"/>
  </si>
  <si>
    <t>자연</t>
    <phoneticPr fontId="2" type="noConversion"/>
  </si>
  <si>
    <t>국민대</t>
    <phoneticPr fontId="2" type="noConversion"/>
  </si>
  <si>
    <t>나노전자물리학</t>
    <phoneticPr fontId="2" type="noConversion"/>
  </si>
  <si>
    <t>강보미</t>
    <phoneticPr fontId="2" type="noConversion"/>
  </si>
  <si>
    <t>일산</t>
    <phoneticPr fontId="2" type="noConversion"/>
  </si>
  <si>
    <t>일반</t>
    <phoneticPr fontId="2" type="noConversion"/>
  </si>
  <si>
    <t>권태형</t>
    <phoneticPr fontId="2" type="noConversion"/>
  </si>
  <si>
    <t>학사</t>
    <phoneticPr fontId="2" type="noConversion"/>
  </si>
  <si>
    <t>경기대</t>
    <phoneticPr fontId="2" type="noConversion"/>
  </si>
  <si>
    <t>일산</t>
    <phoneticPr fontId="2" type="noConversion"/>
  </si>
  <si>
    <t>인하대</t>
    <phoneticPr fontId="2" type="noConversion"/>
  </si>
  <si>
    <t>환경공학</t>
    <phoneticPr fontId="2" type="noConversion"/>
  </si>
  <si>
    <t>김남우</t>
    <phoneticPr fontId="2" type="noConversion"/>
  </si>
  <si>
    <t>한국공학대</t>
    <phoneticPr fontId="2" type="noConversion"/>
  </si>
  <si>
    <t>일반</t>
    <phoneticPr fontId="6" type="noConversion"/>
  </si>
  <si>
    <t>경영학</t>
    <phoneticPr fontId="2" type="noConversion"/>
  </si>
  <si>
    <t>인문</t>
    <phoneticPr fontId="6" type="noConversion"/>
  </si>
  <si>
    <t>인문</t>
    <phoneticPr fontId="2" type="noConversion"/>
  </si>
  <si>
    <t>국민대</t>
    <phoneticPr fontId="2" type="noConversion"/>
  </si>
  <si>
    <t>일반</t>
    <phoneticPr fontId="2" type="noConversion"/>
  </si>
  <si>
    <t>김동훈</t>
    <phoneticPr fontId="2" type="noConversion"/>
  </si>
  <si>
    <t>삼육대</t>
    <phoneticPr fontId="2" type="noConversion"/>
  </si>
  <si>
    <t>화학생명과학</t>
    <phoneticPr fontId="2" type="noConversion"/>
  </si>
  <si>
    <t>자연</t>
    <phoneticPr fontId="6" type="noConversion"/>
  </si>
  <si>
    <t>금융수학</t>
    <phoneticPr fontId="2" type="noConversion"/>
  </si>
  <si>
    <t>김서연</t>
    <phoneticPr fontId="2" type="noConversion"/>
  </si>
  <si>
    <t>인하대</t>
    <phoneticPr fontId="2" type="noConversion"/>
  </si>
  <si>
    <t>생명과학</t>
    <phoneticPr fontId="2" type="noConversion"/>
  </si>
  <si>
    <t>김수완</t>
    <phoneticPr fontId="2" type="noConversion"/>
  </si>
  <si>
    <t>일산</t>
    <phoneticPr fontId="2" type="noConversion"/>
  </si>
  <si>
    <t>서울과기대</t>
    <phoneticPr fontId="2" type="noConversion"/>
  </si>
  <si>
    <t>정밀화학</t>
    <phoneticPr fontId="2" type="noConversion"/>
  </si>
  <si>
    <t>김승혁</t>
    <phoneticPr fontId="2" type="noConversion"/>
  </si>
  <si>
    <t>세종대</t>
    <phoneticPr fontId="2" type="noConversion"/>
  </si>
  <si>
    <t>한국외대</t>
    <phoneticPr fontId="2" type="noConversion"/>
  </si>
  <si>
    <t>김아영</t>
    <phoneticPr fontId="2" type="noConversion"/>
  </si>
  <si>
    <t>단국대</t>
    <phoneticPr fontId="2" type="noConversion"/>
  </si>
  <si>
    <t>김우석</t>
    <phoneticPr fontId="2" type="noConversion"/>
  </si>
  <si>
    <t>숭실대</t>
    <phoneticPr fontId="2" type="noConversion"/>
  </si>
  <si>
    <t>기계공학</t>
    <phoneticPr fontId="2" type="noConversion"/>
  </si>
  <si>
    <t>김재완</t>
    <phoneticPr fontId="2" type="noConversion"/>
  </si>
  <si>
    <t>일반</t>
    <phoneticPr fontId="2" type="noConversion"/>
  </si>
  <si>
    <t>김지은</t>
    <phoneticPr fontId="2" type="noConversion"/>
  </si>
  <si>
    <t>입체조형학</t>
    <phoneticPr fontId="2" type="noConversion"/>
  </si>
  <si>
    <t>김현수</t>
    <phoneticPr fontId="2" type="noConversion"/>
  </si>
  <si>
    <t>소프트웨어학</t>
    <phoneticPr fontId="2" type="noConversion"/>
  </si>
  <si>
    <t>인문</t>
    <phoneticPr fontId="2" type="noConversion"/>
  </si>
  <si>
    <t>노예송</t>
    <phoneticPr fontId="2" type="noConversion"/>
  </si>
  <si>
    <t>한성대</t>
    <phoneticPr fontId="2" type="noConversion"/>
  </si>
  <si>
    <t>박민정</t>
    <phoneticPr fontId="2" type="noConversion"/>
  </si>
  <si>
    <t>화공생명공학</t>
    <phoneticPr fontId="2" type="noConversion"/>
  </si>
  <si>
    <t>건국대</t>
    <phoneticPr fontId="2" type="noConversion"/>
  </si>
  <si>
    <t>첨단바이오공학</t>
    <phoneticPr fontId="2" type="noConversion"/>
  </si>
  <si>
    <t>이화여대</t>
    <phoneticPr fontId="2" type="noConversion"/>
  </si>
  <si>
    <t>건축학</t>
    <phoneticPr fontId="2" type="noConversion"/>
  </si>
  <si>
    <t>박준우</t>
    <phoneticPr fontId="2" type="noConversion"/>
  </si>
  <si>
    <t>경영학</t>
    <phoneticPr fontId="2" type="noConversion"/>
  </si>
  <si>
    <t>박현주</t>
    <phoneticPr fontId="2" type="noConversion"/>
  </si>
  <si>
    <t>단국대</t>
    <phoneticPr fontId="2" type="noConversion"/>
  </si>
  <si>
    <t>행정학</t>
    <phoneticPr fontId="2" type="noConversion"/>
  </si>
  <si>
    <t>서지현</t>
    <phoneticPr fontId="2" type="noConversion"/>
  </si>
  <si>
    <t>선규범</t>
    <phoneticPr fontId="2" type="noConversion"/>
  </si>
  <si>
    <t>서강대</t>
    <phoneticPr fontId="2" type="noConversion"/>
  </si>
  <si>
    <t>손민기</t>
    <phoneticPr fontId="2" type="noConversion"/>
  </si>
  <si>
    <t>경희대</t>
    <phoneticPr fontId="2" type="noConversion"/>
  </si>
  <si>
    <t>화학</t>
    <phoneticPr fontId="2" type="noConversion"/>
  </si>
  <si>
    <t>오가은</t>
    <phoneticPr fontId="2" type="noConversion"/>
  </si>
  <si>
    <t>러시아유라시어학</t>
    <phoneticPr fontId="2" type="noConversion"/>
  </si>
  <si>
    <t>유소희</t>
    <phoneticPr fontId="2" type="noConversion"/>
  </si>
  <si>
    <t>학사</t>
    <phoneticPr fontId="6" type="noConversion"/>
  </si>
  <si>
    <t>유시연</t>
    <phoneticPr fontId="2" type="noConversion"/>
  </si>
  <si>
    <t>윤종운</t>
    <phoneticPr fontId="2" type="noConversion"/>
  </si>
  <si>
    <t>동국대</t>
    <phoneticPr fontId="2" type="noConversion"/>
  </si>
  <si>
    <t>기계로봇에너지공학</t>
    <phoneticPr fontId="2" type="noConversion"/>
  </si>
  <si>
    <t>이다연</t>
    <phoneticPr fontId="2" type="noConversion"/>
  </si>
  <si>
    <t>아주대</t>
    <phoneticPr fontId="2" type="noConversion"/>
  </si>
  <si>
    <t>정치외교학</t>
    <phoneticPr fontId="2" type="noConversion"/>
  </si>
  <si>
    <t>이서진</t>
    <phoneticPr fontId="2" type="noConversion"/>
  </si>
  <si>
    <t>국어국문학</t>
    <phoneticPr fontId="2" type="noConversion"/>
  </si>
  <si>
    <t>이소민</t>
    <phoneticPr fontId="2" type="noConversion"/>
  </si>
  <si>
    <t>서강대</t>
    <phoneticPr fontId="2" type="noConversion"/>
  </si>
  <si>
    <t>이승명</t>
    <phoneticPr fontId="2" type="noConversion"/>
  </si>
  <si>
    <t>이연정</t>
    <phoneticPr fontId="2" type="noConversion"/>
  </si>
  <si>
    <t>학사</t>
    <phoneticPr fontId="2" type="noConversion"/>
  </si>
  <si>
    <t>컴퓨터공학</t>
    <phoneticPr fontId="2" type="noConversion"/>
  </si>
  <si>
    <t>정보통신전자공학</t>
    <phoneticPr fontId="2" type="noConversion"/>
  </si>
  <si>
    <t>일반</t>
    <phoneticPr fontId="6" type="noConversion"/>
  </si>
  <si>
    <t>이주용</t>
    <phoneticPr fontId="2" type="noConversion"/>
  </si>
  <si>
    <t>이준호</t>
    <phoneticPr fontId="2" type="noConversion"/>
  </si>
  <si>
    <t>전자공학</t>
    <phoneticPr fontId="2" type="noConversion"/>
  </si>
  <si>
    <t>이지민</t>
    <phoneticPr fontId="2" type="noConversion"/>
  </si>
  <si>
    <t>이진성</t>
    <phoneticPr fontId="2" type="noConversion"/>
  </si>
  <si>
    <t>이현정</t>
    <phoneticPr fontId="2" type="noConversion"/>
  </si>
  <si>
    <t>이희명</t>
    <phoneticPr fontId="2" type="noConversion"/>
  </si>
  <si>
    <t>연세대(미래)</t>
    <phoneticPr fontId="2" type="noConversion"/>
  </si>
  <si>
    <t>임익현</t>
    <phoneticPr fontId="2" type="noConversion"/>
  </si>
  <si>
    <t>임준석</t>
    <phoneticPr fontId="2" type="noConversion"/>
  </si>
  <si>
    <t>임채영</t>
    <phoneticPr fontId="2" type="noConversion"/>
  </si>
  <si>
    <t>장서영</t>
    <phoneticPr fontId="2" type="noConversion"/>
  </si>
  <si>
    <t>정다현</t>
    <phoneticPr fontId="2" type="noConversion"/>
  </si>
  <si>
    <t>정범권</t>
    <phoneticPr fontId="2" type="noConversion"/>
  </si>
  <si>
    <t>정영민</t>
    <phoneticPr fontId="2" type="noConversion"/>
  </si>
  <si>
    <t>서울디지털대</t>
    <phoneticPr fontId="2" type="noConversion"/>
  </si>
  <si>
    <t>정유현</t>
    <phoneticPr fontId="2" type="noConversion"/>
  </si>
  <si>
    <t>정지훈</t>
    <phoneticPr fontId="2" type="noConversion"/>
  </si>
  <si>
    <t>조제현</t>
    <phoneticPr fontId="2" type="noConversion"/>
  </si>
  <si>
    <t>조준휘</t>
    <phoneticPr fontId="2" type="noConversion"/>
  </si>
  <si>
    <t>조태연</t>
    <phoneticPr fontId="2" type="noConversion"/>
  </si>
  <si>
    <t>산업공학</t>
    <phoneticPr fontId="2" type="noConversion"/>
  </si>
  <si>
    <t>주예나</t>
    <phoneticPr fontId="2" type="noConversion"/>
  </si>
  <si>
    <t>지소연</t>
    <phoneticPr fontId="2" type="noConversion"/>
  </si>
  <si>
    <t>이화여대</t>
    <phoneticPr fontId="2" type="noConversion"/>
  </si>
  <si>
    <t>최민기</t>
    <phoneticPr fontId="2" type="noConversion"/>
  </si>
  <si>
    <t>최영서</t>
    <phoneticPr fontId="2" type="noConversion"/>
  </si>
  <si>
    <t>스마트생명산업융합학</t>
    <phoneticPr fontId="2" type="noConversion"/>
  </si>
  <si>
    <t>하상진</t>
    <phoneticPr fontId="2" type="noConversion"/>
  </si>
  <si>
    <t>허예원</t>
    <phoneticPr fontId="2" type="noConversion"/>
  </si>
  <si>
    <t>홍석준</t>
    <phoneticPr fontId="2" type="noConversion"/>
  </si>
  <si>
    <t>황유림</t>
    <phoneticPr fontId="2" type="noConversion"/>
  </si>
  <si>
    <t>황지민</t>
    <phoneticPr fontId="2" type="noConversion"/>
  </si>
  <si>
    <t>김민주</t>
  </si>
  <si>
    <t>설윤서</t>
  </si>
  <si>
    <t>장다현</t>
  </si>
  <si>
    <t>부평</t>
  </si>
  <si>
    <t>서울여대</t>
  </si>
  <si>
    <t>아동가족학</t>
  </si>
  <si>
    <t>삼육대</t>
  </si>
  <si>
    <t>김가영</t>
  </si>
  <si>
    <t>경희대</t>
  </si>
  <si>
    <t>지리학</t>
  </si>
  <si>
    <t>유성재</t>
  </si>
  <si>
    <t>건국대</t>
  </si>
  <si>
    <t>재료공학</t>
  </si>
  <si>
    <t>광운대</t>
  </si>
  <si>
    <t>아주대</t>
  </si>
  <si>
    <t>인하대</t>
  </si>
  <si>
    <t>홍익대</t>
  </si>
  <si>
    <t>이원영</t>
  </si>
  <si>
    <t>경기대</t>
  </si>
  <si>
    <t>도시교통공학</t>
  </si>
  <si>
    <t>전지민</t>
  </si>
  <si>
    <t>명지대</t>
  </si>
  <si>
    <t>디지털미디어학</t>
  </si>
  <si>
    <t>전형익</t>
  </si>
  <si>
    <t>한국공학대</t>
  </si>
  <si>
    <t>스마트드론공학</t>
  </si>
  <si>
    <t>소원</t>
  </si>
  <si>
    <t>성균관대</t>
  </si>
  <si>
    <t>아동청소년학</t>
  </si>
  <si>
    <t>중앙대</t>
  </si>
  <si>
    <t>경제학</t>
  </si>
  <si>
    <t>차윤서</t>
  </si>
  <si>
    <t>동국대</t>
  </si>
  <si>
    <t>서강대</t>
  </si>
  <si>
    <t>철학</t>
  </si>
  <si>
    <t>숙명여대</t>
  </si>
  <si>
    <t>이화여대</t>
  </si>
  <si>
    <t>진희연</t>
  </si>
  <si>
    <t>불어불문학</t>
  </si>
  <si>
    <t>김관우</t>
  </si>
  <si>
    <t>스포츠건강과학</t>
  </si>
  <si>
    <t>가예준</t>
  </si>
  <si>
    <t>유현정</t>
  </si>
  <si>
    <t>리빙디자인학</t>
    <phoneticPr fontId="2" type="noConversion"/>
  </si>
  <si>
    <t>중어중문학</t>
  </si>
  <si>
    <t>서시연</t>
  </si>
  <si>
    <t>동물지원학</t>
  </si>
  <si>
    <t>손영훈</t>
  </si>
  <si>
    <t>단국대</t>
  </si>
  <si>
    <t>상명대</t>
  </si>
  <si>
    <t>인천대</t>
  </si>
  <si>
    <t>무역학</t>
  </si>
  <si>
    <t>류승민</t>
  </si>
  <si>
    <t>가천대</t>
  </si>
  <si>
    <t>경영학</t>
  </si>
  <si>
    <t>행정학</t>
  </si>
  <si>
    <t>가톨릭대</t>
  </si>
  <si>
    <t>류희정</t>
  </si>
  <si>
    <t>영어영문학</t>
  </si>
  <si>
    <t>김수연</t>
  </si>
  <si>
    <t>러시아어문학</t>
  </si>
  <si>
    <t>김시윤</t>
  </si>
  <si>
    <t>전자공학</t>
  </si>
  <si>
    <t>최한나</t>
  </si>
  <si>
    <t>숭실대</t>
  </si>
  <si>
    <t>임서영</t>
  </si>
  <si>
    <t>신소재물리학</t>
  </si>
  <si>
    <t>김유림</t>
  </si>
  <si>
    <t>건축공학</t>
  </si>
  <si>
    <t>화학</t>
  </si>
  <si>
    <t>곽지영</t>
  </si>
  <si>
    <t>패션산업학</t>
  </si>
  <si>
    <t>고명성</t>
  </si>
  <si>
    <t>교통공학</t>
  </si>
  <si>
    <t>김시율</t>
  </si>
  <si>
    <t>이수안</t>
  </si>
  <si>
    <t>남하영</t>
  </si>
  <si>
    <t>건설환경플랜트공학</t>
  </si>
  <si>
    <t>김도현</t>
  </si>
  <si>
    <t>건설환경공학</t>
  </si>
  <si>
    <t>컴퓨터교육</t>
  </si>
  <si>
    <t>이소림</t>
  </si>
  <si>
    <t>세종대</t>
  </si>
  <si>
    <t>전자반도체공학</t>
  </si>
  <si>
    <t>서효정</t>
  </si>
  <si>
    <t>건축학</t>
  </si>
  <si>
    <t>임설희</t>
  </si>
  <si>
    <t>교육학</t>
  </si>
  <si>
    <t>이준우</t>
  </si>
  <si>
    <t>컴퓨터교욱</t>
  </si>
  <si>
    <t>우지원</t>
  </si>
  <si>
    <t>최다연</t>
  </si>
  <si>
    <t>부동산학</t>
  </si>
  <si>
    <t>정예선</t>
  </si>
  <si>
    <t>산업경영공학</t>
  </si>
  <si>
    <t>산업공학</t>
  </si>
  <si>
    <t>한가온</t>
  </si>
  <si>
    <t>정치외교학</t>
  </si>
  <si>
    <t>박보민</t>
  </si>
  <si>
    <t>기독교학</t>
  </si>
  <si>
    <t>고영준</t>
  </si>
  <si>
    <t>고려대(세종)</t>
  </si>
  <si>
    <t>김효식</t>
  </si>
  <si>
    <t>김세연</t>
  </si>
  <si>
    <t>수원대</t>
  </si>
  <si>
    <t>유영화</t>
  </si>
  <si>
    <t>고예은</t>
  </si>
  <si>
    <t>생명환경공학</t>
  </si>
  <si>
    <t>유하영</t>
  </si>
  <si>
    <t>국제학</t>
  </si>
  <si>
    <t>손범준</t>
  </si>
  <si>
    <t>기술경영학</t>
  </si>
  <si>
    <t>강예은</t>
  </si>
  <si>
    <t>송진영</t>
  </si>
  <si>
    <t>한국외대</t>
  </si>
  <si>
    <t>국민대</t>
  </si>
  <si>
    <t>송서현</t>
  </si>
  <si>
    <t>컴퓨터공학</t>
  </si>
  <si>
    <t>조하연</t>
  </si>
  <si>
    <t>생명공학</t>
  </si>
  <si>
    <t>강예은2</t>
  </si>
  <si>
    <t>생명과학</t>
  </si>
  <si>
    <t>한국항공대</t>
  </si>
  <si>
    <t>윤여린</t>
  </si>
  <si>
    <t>박민</t>
  </si>
  <si>
    <t>중국언어문화학</t>
  </si>
  <si>
    <t>이준범</t>
  </si>
  <si>
    <t>한기정</t>
  </si>
  <si>
    <t>순석현</t>
  </si>
  <si>
    <t>송승찬</t>
  </si>
  <si>
    <t>강남대</t>
  </si>
  <si>
    <t>정경학</t>
  </si>
  <si>
    <t>한시은</t>
  </si>
  <si>
    <t>서울시립대</t>
    <phoneticPr fontId="2" type="noConversion"/>
  </si>
  <si>
    <t>화학</t>
    <phoneticPr fontId="2" type="noConversion"/>
  </si>
  <si>
    <t>최종대</t>
  </si>
  <si>
    <t>한성대</t>
  </si>
  <si>
    <t>서울시립대</t>
  </si>
  <si>
    <t>연세대(미래)</t>
  </si>
  <si>
    <t>한양대</t>
  </si>
  <si>
    <t>한양대(에리카)</t>
  </si>
  <si>
    <t>물리치료학</t>
    <phoneticPr fontId="2" type="noConversion"/>
  </si>
  <si>
    <t>24-김동현</t>
  </si>
  <si>
    <t>듀이카</t>
    <phoneticPr fontId="2" type="noConversion"/>
  </si>
  <si>
    <t>김동현_1</t>
  </si>
  <si>
    <t>김동현_2</t>
  </si>
  <si>
    <t>김민준_3</t>
  </si>
  <si>
    <t>김어진_2</t>
  </si>
  <si>
    <t>김윤성</t>
  </si>
  <si>
    <t>김인하</t>
  </si>
  <si>
    <t>박승준</t>
  </si>
  <si>
    <t>신소재공학</t>
  </si>
  <si>
    <t>송유석</t>
  </si>
  <si>
    <t>오현태</t>
  </si>
  <si>
    <t>반도체물리학</t>
  </si>
  <si>
    <t>이재헌</t>
  </si>
  <si>
    <t>이주환</t>
  </si>
  <si>
    <t>인용재</t>
  </si>
  <si>
    <t>학사</t>
    <phoneticPr fontId="2" type="noConversion"/>
  </si>
  <si>
    <t>차서원</t>
  </si>
  <si>
    <t>허소연</t>
  </si>
  <si>
    <t>인문</t>
    <phoneticPr fontId="2" type="noConversion"/>
  </si>
  <si>
    <t>강남대</t>
    <phoneticPr fontId="2" type="noConversion"/>
  </si>
  <si>
    <t>부동산건설학</t>
    <phoneticPr fontId="2" type="noConversion"/>
  </si>
  <si>
    <t>김민준_2</t>
  </si>
  <si>
    <t>듀이카</t>
    <phoneticPr fontId="2" type="noConversion"/>
  </si>
  <si>
    <t>자연</t>
    <phoneticPr fontId="2" type="noConversion"/>
  </si>
  <si>
    <t>노요한</t>
  </si>
  <si>
    <t>이유나</t>
  </si>
  <si>
    <t>김경모</t>
  </si>
  <si>
    <t>박상욱</t>
  </si>
  <si>
    <t>에너지시스템공학</t>
  </si>
  <si>
    <t>여정민</t>
  </si>
  <si>
    <t>이종왕</t>
  </si>
  <si>
    <t>이휘석</t>
  </si>
  <si>
    <t>고지운</t>
    <phoneticPr fontId="2" type="noConversion"/>
  </si>
  <si>
    <t>경희대</t>
    <phoneticPr fontId="2" type="noConversion"/>
  </si>
  <si>
    <t>스페인어학</t>
    <phoneticPr fontId="2" type="noConversion"/>
  </si>
  <si>
    <t>일반</t>
    <phoneticPr fontId="2" type="noConversion"/>
  </si>
  <si>
    <t>이윤승</t>
  </si>
  <si>
    <t>정린</t>
  </si>
  <si>
    <t>중국학</t>
  </si>
  <si>
    <t>지유경</t>
  </si>
  <si>
    <t>김남교</t>
    <phoneticPr fontId="2" type="noConversion"/>
  </si>
  <si>
    <t>김유빈</t>
  </si>
  <si>
    <t>김현준</t>
  </si>
  <si>
    <t>화학공학</t>
  </si>
  <si>
    <t>수학</t>
  </si>
  <si>
    <t>정보보안암호수학</t>
  </si>
  <si>
    <t>융합바이오공학</t>
  </si>
  <si>
    <t>컴퓨터공학</t>
    <phoneticPr fontId="2" type="noConversion"/>
  </si>
  <si>
    <t>경영학</t>
    <phoneticPr fontId="2" type="noConversion"/>
  </si>
  <si>
    <t>김유경</t>
  </si>
  <si>
    <t>나유리</t>
    <phoneticPr fontId="2" type="noConversion"/>
  </si>
  <si>
    <t>유민지</t>
  </si>
  <si>
    <t>김민규_3</t>
  </si>
  <si>
    <t>단국대(천안)</t>
  </si>
  <si>
    <t>생명학</t>
  </si>
  <si>
    <t>박지은</t>
  </si>
  <si>
    <t>이선아</t>
    <phoneticPr fontId="2" type="noConversion"/>
  </si>
  <si>
    <t>단국대(천안)</t>
    <phoneticPr fontId="2" type="noConversion"/>
  </si>
  <si>
    <t>이하은</t>
    <phoneticPr fontId="2" type="noConversion"/>
  </si>
  <si>
    <t>임태경</t>
  </si>
  <si>
    <t>심리치료학</t>
  </si>
  <si>
    <t>조서영</t>
  </si>
  <si>
    <t>강채원</t>
  </si>
  <si>
    <t>식품생명공학</t>
  </si>
  <si>
    <t>김태환</t>
  </si>
  <si>
    <t>바이오환경학</t>
  </si>
  <si>
    <t>동국대</t>
    <phoneticPr fontId="2" type="noConversion"/>
  </si>
  <si>
    <t>류화영</t>
    <phoneticPr fontId="2" type="noConversion"/>
  </si>
  <si>
    <t>미디어커뮤니케이션학</t>
    <phoneticPr fontId="2" type="noConversion"/>
  </si>
  <si>
    <t>김주희</t>
    <phoneticPr fontId="2" type="noConversion"/>
  </si>
  <si>
    <t>동남보건대</t>
    <phoneticPr fontId="2" type="noConversion"/>
  </si>
  <si>
    <t>간호학</t>
    <phoneticPr fontId="2" type="noConversion"/>
  </si>
  <si>
    <t>김다희</t>
  </si>
  <si>
    <t>김지윤</t>
  </si>
  <si>
    <t>이예림</t>
  </si>
  <si>
    <t>이혁재</t>
    <phoneticPr fontId="2" type="noConversion"/>
  </si>
  <si>
    <t>명지대</t>
    <phoneticPr fontId="2" type="noConversion"/>
  </si>
  <si>
    <t>교통공학</t>
    <phoneticPr fontId="2" type="noConversion"/>
  </si>
  <si>
    <t>명지전문대</t>
    <phoneticPr fontId="2" type="noConversion"/>
  </si>
  <si>
    <t>일본어학</t>
    <phoneticPr fontId="2" type="noConversion"/>
  </si>
  <si>
    <t>백석대</t>
    <phoneticPr fontId="2" type="noConversion"/>
  </si>
  <si>
    <t>서울여대</t>
    <phoneticPr fontId="2" type="noConversion"/>
  </si>
  <si>
    <t>아동학</t>
    <phoneticPr fontId="2" type="noConversion"/>
  </si>
  <si>
    <t>윤서진</t>
  </si>
  <si>
    <t>인문사회계열</t>
  </si>
  <si>
    <t>박채은</t>
  </si>
  <si>
    <t>정진선</t>
  </si>
  <si>
    <t>24-김기범</t>
    <phoneticPr fontId="2" type="noConversion"/>
  </si>
  <si>
    <t>수원대</t>
    <phoneticPr fontId="2" type="noConversion"/>
  </si>
  <si>
    <t>아동가족복지학</t>
    <phoneticPr fontId="2" type="noConversion"/>
  </si>
  <si>
    <t>권영도</t>
    <phoneticPr fontId="2" type="noConversion"/>
  </si>
  <si>
    <t>박선민</t>
    <phoneticPr fontId="2" type="noConversion"/>
  </si>
  <si>
    <t>환경에너지공학</t>
    <phoneticPr fontId="2" type="noConversion"/>
  </si>
  <si>
    <t>의류학</t>
  </si>
  <si>
    <t>독어독문학</t>
  </si>
  <si>
    <t>의생명시스템학</t>
  </si>
  <si>
    <t>숭실대</t>
    <phoneticPr fontId="2" type="noConversion"/>
  </si>
  <si>
    <t>나태웅</t>
    <phoneticPr fontId="2" type="noConversion"/>
  </si>
  <si>
    <t>남가미</t>
    <phoneticPr fontId="2" type="noConversion"/>
  </si>
  <si>
    <t>신한대</t>
    <phoneticPr fontId="2" type="noConversion"/>
  </si>
  <si>
    <t>아주대</t>
    <phoneticPr fontId="2" type="noConversion"/>
  </si>
  <si>
    <t>박준하</t>
  </si>
  <si>
    <t>문화콘텐츠학</t>
  </si>
  <si>
    <t>이소은</t>
  </si>
  <si>
    <t>이준서</t>
  </si>
  <si>
    <t>중앙대</t>
    <phoneticPr fontId="2" type="noConversion"/>
  </si>
  <si>
    <t>소프트웨어공학</t>
  </si>
  <si>
    <t>전자전기공학</t>
  </si>
  <si>
    <t>나노소재공학</t>
  </si>
  <si>
    <t>김어진_1</t>
    <phoneticPr fontId="2" type="noConversion"/>
  </si>
  <si>
    <t>한경국립대</t>
    <phoneticPr fontId="2" type="noConversion"/>
  </si>
  <si>
    <t>화학공학</t>
    <phoneticPr fontId="2" type="noConversion"/>
  </si>
  <si>
    <t>김범수</t>
  </si>
  <si>
    <t>데이터사이언스학</t>
  </si>
  <si>
    <t>조윤진</t>
  </si>
  <si>
    <t>이선학</t>
    <phoneticPr fontId="2" type="noConversion"/>
  </si>
  <si>
    <t>한국기술교육대</t>
    <phoneticPr fontId="2" type="noConversion"/>
  </si>
  <si>
    <t>박록우</t>
    <phoneticPr fontId="2" type="noConversion"/>
  </si>
  <si>
    <t>22-김민규</t>
    <phoneticPr fontId="2" type="noConversion"/>
  </si>
  <si>
    <t>한국항공대</t>
    <phoneticPr fontId="2" type="noConversion"/>
  </si>
  <si>
    <t>기계항공공학</t>
    <phoneticPr fontId="2" type="noConversion"/>
  </si>
  <si>
    <t>항공교통물류학</t>
  </si>
  <si>
    <t>한지민</t>
  </si>
  <si>
    <t>양현지</t>
  </si>
  <si>
    <t>정책학</t>
  </si>
  <si>
    <t>차서윤</t>
  </si>
  <si>
    <t>홍익대(세종)</t>
    <phoneticPr fontId="2" type="noConversion"/>
  </si>
  <si>
    <t>학사</t>
    <phoneticPr fontId="2" type="noConversion"/>
  </si>
  <si>
    <t>듀이카</t>
    <phoneticPr fontId="2" type="noConversion"/>
  </si>
  <si>
    <t>일반</t>
    <phoneticPr fontId="2" type="noConversion"/>
  </si>
  <si>
    <t>인문</t>
    <phoneticPr fontId="2" type="noConversion"/>
  </si>
  <si>
    <t>자연</t>
    <phoneticPr fontId="2" type="noConversion"/>
  </si>
  <si>
    <t>듀이카</t>
    <phoneticPr fontId="2" type="noConversion"/>
  </si>
  <si>
    <t>학사</t>
    <phoneticPr fontId="2" type="noConversion"/>
  </si>
  <si>
    <t>자연</t>
    <phoneticPr fontId="2" type="noConversion"/>
  </si>
  <si>
    <t>학사</t>
    <phoneticPr fontId="2" type="noConversion"/>
  </si>
  <si>
    <t>서보은</t>
    <phoneticPr fontId="2" type="noConversion"/>
  </si>
  <si>
    <t>듀이카</t>
    <phoneticPr fontId="2" type="noConversion"/>
  </si>
  <si>
    <t>인문</t>
    <phoneticPr fontId="2" type="noConversion"/>
  </si>
  <si>
    <t>듀이카</t>
    <phoneticPr fontId="2" type="noConversion"/>
  </si>
  <si>
    <t>김아영</t>
    <phoneticPr fontId="2" type="noConversion"/>
  </si>
  <si>
    <t>고분자공학</t>
    <phoneticPr fontId="2" type="noConversion"/>
  </si>
  <si>
    <t>?</t>
    <phoneticPr fontId="2" type="noConversion"/>
  </si>
  <si>
    <t>김세령</t>
    <phoneticPr fontId="2" type="noConversion"/>
  </si>
  <si>
    <t>24-이수빈</t>
    <phoneticPr fontId="2" type="noConversion"/>
  </si>
  <si>
    <t>치위생학</t>
    <phoneticPr fontId="2" type="noConversion"/>
  </si>
  <si>
    <t>관광문화콘텐츠학</t>
    <phoneticPr fontId="2" type="noConversion"/>
  </si>
  <si>
    <t>시큐리티매니저먼트학</t>
    <phoneticPr fontId="2" type="noConversion"/>
  </si>
  <si>
    <t>중어중문학</t>
    <phoneticPr fontId="2" type="noConversion"/>
  </si>
  <si>
    <t>글로벌경영</t>
  </si>
  <si>
    <t>영미학</t>
  </si>
  <si>
    <t>인공지능</t>
  </si>
  <si>
    <t>건설시스템공학</t>
  </si>
  <si>
    <t>나노소재</t>
  </si>
  <si>
    <t>개인정보보호</t>
  </si>
  <si>
    <t>화학및의화학</t>
  </si>
  <si>
    <t>IT경영</t>
  </si>
  <si>
    <t>기계설계</t>
  </si>
  <si>
    <t>동북아문화산업학</t>
    <phoneticPr fontId="2" type="noConversion"/>
  </si>
  <si>
    <t>로봇학</t>
    <phoneticPr fontId="2" type="noConversion"/>
  </si>
  <si>
    <t>인공지능</t>
    <phoneticPr fontId="2" type="noConversion"/>
  </si>
  <si>
    <t>산림환경시스템학</t>
    <phoneticPr fontId="2" type="noConversion"/>
  </si>
  <si>
    <t>도시계획부동산학</t>
    <phoneticPr fontId="2" type="noConversion"/>
  </si>
  <si>
    <t>디지털미디어학</t>
    <phoneticPr fontId="2" type="noConversion"/>
  </si>
  <si>
    <t>성신여대</t>
    <phoneticPr fontId="2" type="noConversion"/>
  </si>
  <si>
    <t>정보통계보험수리학</t>
    <phoneticPr fontId="2" type="noConversion"/>
  </si>
  <si>
    <t>물리학</t>
    <phoneticPr fontId="2" type="noConversion"/>
  </si>
  <si>
    <t>환경안전공학</t>
    <phoneticPr fontId="2" type="noConversion"/>
  </si>
  <si>
    <t>한국외대(글로벌)</t>
    <phoneticPr fontId="2" type="noConversion"/>
  </si>
  <si>
    <t>우크라이나학</t>
    <phoneticPr fontId="2" type="noConversion"/>
  </si>
  <si>
    <t>문학문화콘텐츠학</t>
    <phoneticPr fontId="2" type="noConversion"/>
  </si>
  <si>
    <t>기계항공공학</t>
    <phoneticPr fontId="2" type="noConversion"/>
  </si>
  <si>
    <t>상위권</t>
  </si>
  <si>
    <t>강남</t>
  </si>
  <si>
    <t>노원</t>
  </si>
  <si>
    <t>일산</t>
  </si>
  <si>
    <t>듀이카</t>
  </si>
  <si>
    <t>인원수</t>
    <phoneticPr fontId="2" type="noConversion"/>
  </si>
  <si>
    <t>일반인문</t>
  </si>
  <si>
    <t>일반자연</t>
  </si>
  <si>
    <t>학사인문</t>
  </si>
  <si>
    <t>학사자연</t>
  </si>
  <si>
    <t>자연</t>
    <phoneticPr fontId="2" type="noConversion"/>
  </si>
  <si>
    <t>전체 분원</t>
    <phoneticPr fontId="2" type="noConversion"/>
  </si>
  <si>
    <t>준상위권</t>
  </si>
  <si>
    <t>듀이카제외 총</t>
    <phoneticPr fontId="2" type="noConversion"/>
  </si>
  <si>
    <t>총합계</t>
  </si>
  <si>
    <t>합격률</t>
    <phoneticPr fontId="2" type="noConversion"/>
  </si>
  <si>
    <t>합격생대비비율</t>
    <phoneticPr fontId="2" type="noConversion"/>
  </si>
  <si>
    <t>합격생대비비율</t>
    <phoneticPr fontId="2" type="noConversion"/>
  </si>
  <si>
    <t>부평</t>
    <phoneticPr fontId="2" type="noConversion"/>
  </si>
  <si>
    <t>총원</t>
    <phoneticPr fontId="2" type="noConversion"/>
  </si>
  <si>
    <t>부평</t>
    <phoneticPr fontId="2" type="noConversion"/>
  </si>
  <si>
    <t>미술학</t>
    <phoneticPr fontId="2" type="noConversion"/>
  </si>
  <si>
    <t>박은아1</t>
    <phoneticPr fontId="2" type="noConversion"/>
  </si>
  <si>
    <t>박재경</t>
    <phoneticPr fontId="2" type="noConversion"/>
  </si>
  <si>
    <t>양현유</t>
    <phoneticPr fontId="2" type="noConversion"/>
  </si>
  <si>
    <t>조민성</t>
    <phoneticPr fontId="2" type="noConversion"/>
  </si>
  <si>
    <t>명재대</t>
    <phoneticPr fontId="2" type="noConversion"/>
  </si>
  <si>
    <t>홍성민</t>
    <phoneticPr fontId="2" type="noConversion"/>
  </si>
  <si>
    <t>강남</t>
    <phoneticPr fontId="2" type="noConversion"/>
  </si>
  <si>
    <t>서강대</t>
    <phoneticPr fontId="2" type="noConversion"/>
  </si>
  <si>
    <t>생명과학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</si>
</sst>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10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8" fillId="0" borderId="0" xfId="0" applyFont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center" shrinkToFit="1"/>
    </xf>
    <xf numFmtId="0" fontId="0" fillId="2" borderId="0" xfId="0" applyFill="1" applyAlignment="1">
      <alignment vertical="center" shrinkToFit="1"/>
    </xf>
    <xf numFmtId="177" fontId="9" fillId="0" borderId="0" xfId="0" applyNumberFormat="1" applyFont="1" applyAlignment="1">
      <alignment vertical="center" shrinkToFit="1"/>
    </xf>
    <xf numFmtId="177" fontId="8" fillId="0" borderId="0" xfId="0" applyNumberFormat="1" applyFont="1" applyAlignment="1">
      <alignment vertical="center" shrinkToFit="1"/>
    </xf>
    <xf numFmtId="0" fontId="7" fillId="0" borderId="0" xfId="0" applyFont="1" applyAlignment="1">
      <alignment horizontal="center" vertical="center" shrinkToFit="1"/>
    </xf>
    <xf numFmtId="176" fontId="7" fillId="0" borderId="0" xfId="0" applyNumberFormat="1" applyFont="1" applyAlignment="1">
      <alignment horizontal="center" vertical="center" shrinkToFit="1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3"/>
  <sheetViews>
    <sheetView tabSelected="1" workbookViewId="0">
      <selection activeCell="K9" sqref="K9"/>
    </sheetView>
  </sheetViews>
  <sheetFormatPr defaultRowHeight="16.5" x14ac:dyDescent="0.3"/>
  <cols>
    <col min="1" max="1" width="9" style="9"/>
    <col min="2" max="2" width="5.5" style="9" customWidth="1"/>
    <col min="3" max="3" width="6.5" style="9" customWidth="1"/>
    <col min="4" max="4" width="4.75" style="9" bestFit="1" customWidth="1"/>
    <col min="5" max="5" width="13.375" style="10" customWidth="1"/>
    <col min="6" max="6" width="20.625" style="10" customWidth="1"/>
  </cols>
  <sheetData>
    <row r="1" spans="1:6" x14ac:dyDescent="0.3">
      <c r="A1" s="7" t="s">
        <v>57</v>
      </c>
      <c r="B1" s="7" t="s">
        <v>58</v>
      </c>
      <c r="C1" s="7" t="s">
        <v>0</v>
      </c>
      <c r="D1" s="7" t="s">
        <v>1</v>
      </c>
      <c r="E1" s="8" t="s">
        <v>573</v>
      </c>
      <c r="F1" s="8" t="s">
        <v>59</v>
      </c>
    </row>
    <row r="2" spans="1:6" x14ac:dyDescent="0.3">
      <c r="A2" s="9" t="s">
        <v>54</v>
      </c>
      <c r="B2" s="9" t="s">
        <v>196</v>
      </c>
      <c r="C2" s="9" t="s">
        <v>68</v>
      </c>
      <c r="D2" s="9" t="s">
        <v>79</v>
      </c>
      <c r="E2" s="11" t="s">
        <v>456</v>
      </c>
      <c r="F2" s="11" t="s">
        <v>178</v>
      </c>
    </row>
    <row r="3" spans="1:6" x14ac:dyDescent="0.3">
      <c r="A3" s="12" t="s">
        <v>284</v>
      </c>
      <c r="B3" s="9" t="s">
        <v>196</v>
      </c>
      <c r="C3" s="12" t="s">
        <v>68</v>
      </c>
      <c r="D3" s="12" t="s">
        <v>79</v>
      </c>
      <c r="E3" s="12" t="s">
        <v>456</v>
      </c>
      <c r="F3" s="11" t="s">
        <v>285</v>
      </c>
    </row>
    <row r="4" spans="1:6" x14ac:dyDescent="0.3">
      <c r="A4" s="9" t="s">
        <v>277</v>
      </c>
      <c r="B4" s="12" t="s">
        <v>196</v>
      </c>
      <c r="C4" s="9" t="s">
        <v>9</v>
      </c>
      <c r="D4" s="9" t="s">
        <v>7</v>
      </c>
      <c r="E4" s="12" t="s">
        <v>456</v>
      </c>
      <c r="F4" s="11" t="s">
        <v>278</v>
      </c>
    </row>
    <row r="5" spans="1:6" x14ac:dyDescent="0.3">
      <c r="A5" s="12" t="s">
        <v>218</v>
      </c>
      <c r="B5" s="9" t="s">
        <v>196</v>
      </c>
      <c r="C5" s="12" t="s">
        <v>68</v>
      </c>
      <c r="D5" s="12" t="s">
        <v>79</v>
      </c>
      <c r="E5" s="11" t="s">
        <v>553</v>
      </c>
      <c r="F5" s="11" t="s">
        <v>742</v>
      </c>
    </row>
    <row r="6" spans="1:6" x14ac:dyDescent="0.3">
      <c r="A6" s="9" t="s">
        <v>309</v>
      </c>
      <c r="B6" s="9" t="s">
        <v>196</v>
      </c>
      <c r="C6" s="11" t="s">
        <v>68</v>
      </c>
      <c r="D6" s="9" t="s">
        <v>79</v>
      </c>
      <c r="E6" s="10" t="s">
        <v>486</v>
      </c>
      <c r="F6" s="10" t="s">
        <v>80</v>
      </c>
    </row>
    <row r="7" spans="1:6" x14ac:dyDescent="0.3">
      <c r="A7" s="13" t="s">
        <v>206</v>
      </c>
      <c r="B7" s="9" t="s">
        <v>193</v>
      </c>
      <c r="C7" s="9" t="s">
        <v>68</v>
      </c>
      <c r="D7" s="9" t="s">
        <v>4</v>
      </c>
      <c r="E7" s="11" t="s">
        <v>486</v>
      </c>
      <c r="F7" s="11" t="s">
        <v>47</v>
      </c>
    </row>
    <row r="8" spans="1:6" x14ac:dyDescent="0.3">
      <c r="A8" s="12" t="s">
        <v>48</v>
      </c>
      <c r="B8" s="9" t="s">
        <v>196</v>
      </c>
      <c r="C8" s="9" t="s">
        <v>192</v>
      </c>
      <c r="D8" s="9" t="s">
        <v>79</v>
      </c>
      <c r="E8" s="11" t="s">
        <v>486</v>
      </c>
      <c r="F8" s="11" t="s">
        <v>210</v>
      </c>
    </row>
    <row r="9" spans="1:6" x14ac:dyDescent="0.3">
      <c r="A9" s="12" t="s">
        <v>213</v>
      </c>
      <c r="B9" s="9" t="s">
        <v>196</v>
      </c>
      <c r="C9" s="12" t="s">
        <v>68</v>
      </c>
      <c r="D9" s="12" t="s">
        <v>79</v>
      </c>
      <c r="E9" s="11" t="s">
        <v>106</v>
      </c>
      <c r="F9" s="11" t="s">
        <v>49</v>
      </c>
    </row>
    <row r="10" spans="1:6" x14ac:dyDescent="0.3">
      <c r="A10" s="9" t="s">
        <v>308</v>
      </c>
      <c r="B10" s="9" t="s">
        <v>196</v>
      </c>
      <c r="C10" s="9" t="s">
        <v>68</v>
      </c>
      <c r="D10" s="9" t="s">
        <v>79</v>
      </c>
      <c r="E10" s="10" t="s">
        <v>444</v>
      </c>
      <c r="F10" s="10" t="s">
        <v>110</v>
      </c>
    </row>
    <row r="11" spans="1:6" x14ac:dyDescent="0.3">
      <c r="A11" s="9" t="s">
        <v>279</v>
      </c>
      <c r="B11" s="12" t="s">
        <v>196</v>
      </c>
      <c r="C11" s="9" t="s">
        <v>9</v>
      </c>
      <c r="D11" s="9" t="s">
        <v>7</v>
      </c>
      <c r="E11" s="11" t="s">
        <v>125</v>
      </c>
      <c r="F11" s="11" t="s">
        <v>276</v>
      </c>
    </row>
    <row r="12" spans="1:6" x14ac:dyDescent="0.3">
      <c r="A12" s="12" t="s">
        <v>214</v>
      </c>
      <c r="B12" s="9" t="s">
        <v>196</v>
      </c>
      <c r="C12" s="12" t="s">
        <v>68</v>
      </c>
      <c r="D12" s="12" t="s">
        <v>79</v>
      </c>
      <c r="E12" s="11" t="s">
        <v>542</v>
      </c>
      <c r="F12" s="11" t="s">
        <v>15</v>
      </c>
    </row>
    <row r="13" spans="1:6" x14ac:dyDescent="0.3">
      <c r="A13" s="13" t="s">
        <v>227</v>
      </c>
      <c r="B13" s="9" t="s">
        <v>196</v>
      </c>
      <c r="C13" s="9" t="s">
        <v>68</v>
      </c>
      <c r="D13" s="9" t="s">
        <v>79</v>
      </c>
      <c r="E13" s="11" t="s">
        <v>542</v>
      </c>
      <c r="F13" s="11" t="s">
        <v>221</v>
      </c>
    </row>
    <row r="14" spans="1:6" x14ac:dyDescent="0.3">
      <c r="A14" s="9" t="s">
        <v>40</v>
      </c>
      <c r="B14" s="9" t="s">
        <v>193</v>
      </c>
      <c r="C14" s="9" t="s">
        <v>11</v>
      </c>
      <c r="D14" s="9" t="s">
        <v>194</v>
      </c>
      <c r="E14" s="11" t="s">
        <v>542</v>
      </c>
      <c r="F14" s="11" t="s">
        <v>195</v>
      </c>
    </row>
    <row r="15" spans="1:6" x14ac:dyDescent="0.3">
      <c r="A15" s="13" t="s">
        <v>273</v>
      </c>
      <c r="B15" s="9" t="s">
        <v>196</v>
      </c>
      <c r="C15" s="9" t="s">
        <v>68</v>
      </c>
      <c r="D15" s="9" t="s">
        <v>79</v>
      </c>
      <c r="E15" s="11" t="s">
        <v>542</v>
      </c>
      <c r="F15" s="11" t="s">
        <v>274</v>
      </c>
    </row>
    <row r="16" spans="1:6" x14ac:dyDescent="0.3">
      <c r="A16" s="12" t="s">
        <v>228</v>
      </c>
      <c r="B16" s="9" t="s">
        <v>5</v>
      </c>
      <c r="C16" s="9" t="s">
        <v>68</v>
      </c>
      <c r="D16" s="9" t="s">
        <v>79</v>
      </c>
      <c r="E16" s="11" t="s">
        <v>576</v>
      </c>
      <c r="F16" s="11" t="s">
        <v>55</v>
      </c>
    </row>
    <row r="17" spans="1:6" x14ac:dyDescent="0.3">
      <c r="A17" s="12" t="s">
        <v>44</v>
      </c>
      <c r="B17" s="9" t="s">
        <v>196</v>
      </c>
      <c r="C17" s="12" t="s">
        <v>68</v>
      </c>
      <c r="D17" s="12" t="s">
        <v>194</v>
      </c>
      <c r="E17" s="11" t="s">
        <v>453</v>
      </c>
      <c r="F17" s="11" t="s">
        <v>25</v>
      </c>
    </row>
    <row r="18" spans="1:6" x14ac:dyDescent="0.3">
      <c r="A18" s="12" t="s">
        <v>42</v>
      </c>
      <c r="B18" s="9" t="s">
        <v>193</v>
      </c>
      <c r="C18" s="12" t="s">
        <v>11</v>
      </c>
      <c r="D18" s="12" t="s">
        <v>4</v>
      </c>
      <c r="E18" s="11" t="s">
        <v>467</v>
      </c>
      <c r="F18" s="11" t="s">
        <v>161</v>
      </c>
    </row>
    <row r="19" spans="1:6" x14ac:dyDescent="0.3">
      <c r="A19" s="12" t="s">
        <v>211</v>
      </c>
      <c r="B19" s="9" t="s">
        <v>193</v>
      </c>
      <c r="C19" s="12" t="s">
        <v>192</v>
      </c>
      <c r="D19" s="12" t="s">
        <v>194</v>
      </c>
      <c r="E19" s="9" t="s">
        <v>467</v>
      </c>
      <c r="F19" s="9" t="s">
        <v>37</v>
      </c>
    </row>
    <row r="20" spans="1:6" x14ac:dyDescent="0.3">
      <c r="A20" s="9" t="s">
        <v>263</v>
      </c>
      <c r="B20" s="9" t="s">
        <v>196</v>
      </c>
      <c r="C20" s="9" t="s">
        <v>68</v>
      </c>
      <c r="D20" s="9" t="s">
        <v>79</v>
      </c>
      <c r="E20" s="11" t="s">
        <v>749</v>
      </c>
      <c r="F20" s="11" t="s">
        <v>750</v>
      </c>
    </row>
    <row r="21" spans="1:6" x14ac:dyDescent="0.3">
      <c r="A21" s="9" t="s">
        <v>264</v>
      </c>
      <c r="B21" s="9" t="s">
        <v>196</v>
      </c>
      <c r="C21" s="9" t="s">
        <v>68</v>
      </c>
      <c r="D21" s="9" t="s">
        <v>79</v>
      </c>
      <c r="E21" s="11" t="s">
        <v>560</v>
      </c>
      <c r="F21" s="9" t="s">
        <v>702</v>
      </c>
    </row>
    <row r="22" spans="1:6" x14ac:dyDescent="0.3">
      <c r="A22" s="9" t="s">
        <v>301</v>
      </c>
      <c r="B22" s="9" t="s">
        <v>196</v>
      </c>
      <c r="C22" s="9" t="s">
        <v>68</v>
      </c>
      <c r="D22" s="9" t="s">
        <v>79</v>
      </c>
      <c r="E22" s="11" t="s">
        <v>574</v>
      </c>
      <c r="F22" s="11" t="s">
        <v>751</v>
      </c>
    </row>
    <row r="23" spans="1:6" x14ac:dyDescent="0.3">
      <c r="A23" s="9" t="s">
        <v>255</v>
      </c>
      <c r="B23" s="9" t="s">
        <v>196</v>
      </c>
      <c r="C23" s="9" t="s">
        <v>68</v>
      </c>
      <c r="D23" s="9" t="s">
        <v>79</v>
      </c>
      <c r="E23" s="11" t="s">
        <v>454</v>
      </c>
      <c r="F23" s="11" t="s">
        <v>66</v>
      </c>
    </row>
    <row r="24" spans="1:6" x14ac:dyDescent="0.3">
      <c r="A24" s="9" t="s">
        <v>215</v>
      </c>
      <c r="B24" s="12" t="s">
        <v>196</v>
      </c>
      <c r="C24" s="9" t="s">
        <v>9</v>
      </c>
      <c r="D24" s="9" t="s">
        <v>7</v>
      </c>
      <c r="E24" s="11" t="s">
        <v>145</v>
      </c>
      <c r="F24" s="11" t="s">
        <v>25</v>
      </c>
    </row>
    <row r="25" spans="1:6" x14ac:dyDescent="0.3">
      <c r="A25" s="9" t="s">
        <v>775</v>
      </c>
      <c r="B25" s="9" t="s">
        <v>196</v>
      </c>
      <c r="C25" s="12" t="s">
        <v>68</v>
      </c>
      <c r="D25" s="12" t="s">
        <v>69</v>
      </c>
      <c r="E25" s="11" t="s">
        <v>491</v>
      </c>
      <c r="F25" s="11" t="s">
        <v>90</v>
      </c>
    </row>
    <row r="26" spans="1:6" x14ac:dyDescent="0.3">
      <c r="A26" s="12" t="s">
        <v>304</v>
      </c>
      <c r="B26" s="9" t="s">
        <v>196</v>
      </c>
      <c r="C26" s="9" t="s">
        <v>68</v>
      </c>
      <c r="D26" s="9" t="s">
        <v>69</v>
      </c>
      <c r="E26" s="11" t="s">
        <v>491</v>
      </c>
      <c r="F26" s="11" t="s">
        <v>305</v>
      </c>
    </row>
    <row r="27" spans="1:6" x14ac:dyDescent="0.3">
      <c r="A27" s="9" t="s">
        <v>241</v>
      </c>
      <c r="B27" s="12" t="s">
        <v>196</v>
      </c>
      <c r="C27" s="9" t="s">
        <v>242</v>
      </c>
      <c r="D27" s="9" t="s">
        <v>243</v>
      </c>
      <c r="E27" s="11" t="s">
        <v>125</v>
      </c>
      <c r="F27" s="11" t="s">
        <v>102</v>
      </c>
    </row>
    <row r="28" spans="1:6" x14ac:dyDescent="0.3">
      <c r="A28" s="9" t="s">
        <v>776</v>
      </c>
      <c r="B28" s="12" t="s">
        <v>5</v>
      </c>
      <c r="C28" s="9" t="s">
        <v>11</v>
      </c>
      <c r="D28" s="9" t="s">
        <v>12</v>
      </c>
      <c r="E28" s="11" t="s">
        <v>371</v>
      </c>
      <c r="F28" s="11" t="s">
        <v>23</v>
      </c>
    </row>
    <row r="29" spans="1:6" x14ac:dyDescent="0.3">
      <c r="A29" s="9" t="s">
        <v>290</v>
      </c>
      <c r="B29" s="9" t="s">
        <v>196</v>
      </c>
      <c r="C29" s="9" t="s">
        <v>68</v>
      </c>
      <c r="D29" s="9" t="s">
        <v>69</v>
      </c>
      <c r="E29" s="11" t="s">
        <v>449</v>
      </c>
      <c r="F29" s="11" t="s">
        <v>291</v>
      </c>
    </row>
    <row r="30" spans="1:6" x14ac:dyDescent="0.3">
      <c r="A30" s="12" t="s">
        <v>201</v>
      </c>
      <c r="B30" s="9" t="s">
        <v>193</v>
      </c>
      <c r="C30" s="9" t="s">
        <v>68</v>
      </c>
      <c r="D30" s="9" t="s">
        <v>12</v>
      </c>
      <c r="E30" s="11" t="s">
        <v>456</v>
      </c>
      <c r="F30" s="11" t="s">
        <v>19</v>
      </c>
    </row>
    <row r="31" spans="1:6" x14ac:dyDescent="0.3">
      <c r="A31" s="9" t="s">
        <v>294</v>
      </c>
      <c r="B31" s="9" t="s">
        <v>196</v>
      </c>
      <c r="C31" s="9" t="s">
        <v>68</v>
      </c>
      <c r="D31" s="9" t="s">
        <v>69</v>
      </c>
      <c r="E31" s="11" t="s">
        <v>456</v>
      </c>
      <c r="F31" s="11" t="s">
        <v>74</v>
      </c>
    </row>
    <row r="32" spans="1:6" x14ac:dyDescent="0.3">
      <c r="A32" s="12" t="s">
        <v>41</v>
      </c>
      <c r="B32" s="9" t="s">
        <v>5</v>
      </c>
      <c r="C32" s="12" t="s">
        <v>192</v>
      </c>
      <c r="D32" s="12" t="s">
        <v>191</v>
      </c>
      <c r="E32" s="11" t="s">
        <v>446</v>
      </c>
      <c r="F32" s="11" t="s">
        <v>197</v>
      </c>
    </row>
    <row r="33" spans="1:6" x14ac:dyDescent="0.3">
      <c r="A33" s="9" t="s">
        <v>236</v>
      </c>
      <c r="B33" s="9" t="s">
        <v>196</v>
      </c>
      <c r="C33" s="9" t="s">
        <v>68</v>
      </c>
      <c r="D33" s="9" t="s">
        <v>69</v>
      </c>
      <c r="E33" s="10" t="s">
        <v>451</v>
      </c>
      <c r="F33" s="10" t="s">
        <v>237</v>
      </c>
    </row>
    <row r="34" spans="1:6" x14ac:dyDescent="0.3">
      <c r="A34" s="9" t="s">
        <v>53</v>
      </c>
      <c r="B34" s="9" t="s">
        <v>196</v>
      </c>
      <c r="C34" s="9" t="s">
        <v>68</v>
      </c>
      <c r="D34" s="9" t="s">
        <v>69</v>
      </c>
      <c r="E34" s="11" t="s">
        <v>486</v>
      </c>
      <c r="F34" s="11" t="s">
        <v>222</v>
      </c>
    </row>
    <row r="35" spans="1:6" x14ac:dyDescent="0.3">
      <c r="A35" s="9" t="s">
        <v>52</v>
      </c>
      <c r="B35" s="9" t="s">
        <v>196</v>
      </c>
      <c r="C35" s="12" t="s">
        <v>68</v>
      </c>
      <c r="D35" s="12" t="s">
        <v>69</v>
      </c>
      <c r="E35" s="10" t="s">
        <v>470</v>
      </c>
      <c r="F35" s="10" t="s">
        <v>219</v>
      </c>
    </row>
    <row r="36" spans="1:6" x14ac:dyDescent="0.3">
      <c r="A36" s="13" t="s">
        <v>288</v>
      </c>
      <c r="B36" s="9" t="s">
        <v>196</v>
      </c>
      <c r="C36" s="9" t="s">
        <v>68</v>
      </c>
      <c r="D36" s="9" t="s">
        <v>69</v>
      </c>
      <c r="E36" s="11" t="s">
        <v>459</v>
      </c>
      <c r="F36" s="11" t="s">
        <v>289</v>
      </c>
    </row>
    <row r="37" spans="1:6" x14ac:dyDescent="0.3">
      <c r="A37" s="9" t="s">
        <v>282</v>
      </c>
      <c r="B37" s="9" t="s">
        <v>196</v>
      </c>
      <c r="C37" s="9" t="s">
        <v>68</v>
      </c>
      <c r="D37" s="9" t="s">
        <v>69</v>
      </c>
      <c r="E37" s="11" t="s">
        <v>459</v>
      </c>
      <c r="F37" s="11" t="s">
        <v>164</v>
      </c>
    </row>
    <row r="38" spans="1:6" x14ac:dyDescent="0.3">
      <c r="A38" s="9" t="s">
        <v>306</v>
      </c>
      <c r="B38" s="9" t="s">
        <v>196</v>
      </c>
      <c r="C38" s="9" t="s">
        <v>68</v>
      </c>
      <c r="D38" s="9" t="s">
        <v>69</v>
      </c>
      <c r="E38" s="11" t="s">
        <v>459</v>
      </c>
      <c r="F38" s="11" t="s">
        <v>103</v>
      </c>
    </row>
    <row r="39" spans="1:6" x14ac:dyDescent="0.3">
      <c r="A39" s="12" t="s">
        <v>230</v>
      </c>
      <c r="B39" s="9" t="s">
        <v>196</v>
      </c>
      <c r="C39" s="12" t="s">
        <v>68</v>
      </c>
      <c r="D39" s="12" t="s">
        <v>69</v>
      </c>
      <c r="E39" s="11" t="s">
        <v>575</v>
      </c>
      <c r="F39" s="11" t="s">
        <v>231</v>
      </c>
    </row>
    <row r="40" spans="1:6" x14ac:dyDescent="0.3">
      <c r="A40" s="9" t="s">
        <v>216</v>
      </c>
      <c r="B40" s="9" t="s">
        <v>196</v>
      </c>
      <c r="C40" s="9" t="s">
        <v>68</v>
      </c>
      <c r="D40" s="9" t="s">
        <v>69</v>
      </c>
      <c r="E40" s="11" t="s">
        <v>575</v>
      </c>
      <c r="F40" s="11" t="s">
        <v>50</v>
      </c>
    </row>
    <row r="41" spans="1:6" x14ac:dyDescent="0.3">
      <c r="A41" s="9" t="s">
        <v>286</v>
      </c>
      <c r="B41" s="9" t="s">
        <v>196</v>
      </c>
      <c r="C41" s="9" t="s">
        <v>68</v>
      </c>
      <c r="D41" s="9" t="s">
        <v>69</v>
      </c>
      <c r="E41" s="11" t="s">
        <v>575</v>
      </c>
      <c r="F41" s="11" t="s">
        <v>287</v>
      </c>
    </row>
    <row r="42" spans="1:6" x14ac:dyDescent="0.3">
      <c r="A42" s="12" t="s">
        <v>51</v>
      </c>
      <c r="B42" s="9" t="s">
        <v>5</v>
      </c>
      <c r="C42" s="12" t="s">
        <v>68</v>
      </c>
      <c r="D42" s="12" t="s">
        <v>69</v>
      </c>
      <c r="E42" s="12" t="s">
        <v>520</v>
      </c>
      <c r="F42" s="11" t="s">
        <v>151</v>
      </c>
    </row>
    <row r="43" spans="1:6" x14ac:dyDescent="0.3">
      <c r="A43" s="9" t="s">
        <v>303</v>
      </c>
      <c r="B43" s="9" t="s">
        <v>196</v>
      </c>
      <c r="C43" s="9" t="s">
        <v>68</v>
      </c>
      <c r="D43" s="9" t="s">
        <v>69</v>
      </c>
      <c r="E43" s="11" t="s">
        <v>520</v>
      </c>
      <c r="F43" s="11" t="s">
        <v>151</v>
      </c>
    </row>
    <row r="44" spans="1:6" x14ac:dyDescent="0.3">
      <c r="A44" s="12" t="s">
        <v>260</v>
      </c>
      <c r="B44" s="9" t="s">
        <v>196</v>
      </c>
      <c r="C44" s="12" t="s">
        <v>68</v>
      </c>
      <c r="D44" s="12" t="s">
        <v>69</v>
      </c>
      <c r="E44" s="11" t="s">
        <v>520</v>
      </c>
      <c r="F44" s="11" t="s">
        <v>261</v>
      </c>
    </row>
    <row r="45" spans="1:6" x14ac:dyDescent="0.3">
      <c r="A45" s="9" t="s">
        <v>268</v>
      </c>
      <c r="B45" s="9" t="s">
        <v>196</v>
      </c>
      <c r="C45" s="9" t="s">
        <v>68</v>
      </c>
      <c r="D45" s="9" t="s">
        <v>69</v>
      </c>
      <c r="E45" s="10" t="s">
        <v>520</v>
      </c>
      <c r="F45" s="10" t="s">
        <v>269</v>
      </c>
    </row>
    <row r="46" spans="1:6" x14ac:dyDescent="0.3">
      <c r="A46" s="9" t="s">
        <v>209</v>
      </c>
      <c r="B46" s="9" t="s">
        <v>196</v>
      </c>
      <c r="C46" s="11" t="s">
        <v>192</v>
      </c>
      <c r="D46" s="9" t="s">
        <v>12</v>
      </c>
      <c r="E46" s="11" t="s">
        <v>502</v>
      </c>
      <c r="F46" s="11" t="s">
        <v>119</v>
      </c>
    </row>
    <row r="47" spans="1:6" x14ac:dyDescent="0.3">
      <c r="A47" s="13" t="s">
        <v>310</v>
      </c>
      <c r="B47" s="12" t="s">
        <v>196</v>
      </c>
      <c r="C47" s="9" t="s">
        <v>68</v>
      </c>
      <c r="D47" s="9" t="s">
        <v>69</v>
      </c>
      <c r="E47" s="11" t="s">
        <v>452</v>
      </c>
      <c r="F47" s="11" t="s">
        <v>74</v>
      </c>
    </row>
    <row r="48" spans="1:6" x14ac:dyDescent="0.3">
      <c r="A48" s="12" t="s">
        <v>295</v>
      </c>
      <c r="B48" s="9" t="s">
        <v>196</v>
      </c>
      <c r="C48" s="9" t="s">
        <v>68</v>
      </c>
      <c r="D48" s="9" t="s">
        <v>69</v>
      </c>
      <c r="E48" s="11" t="s">
        <v>453</v>
      </c>
      <c r="F48" s="11" t="s">
        <v>117</v>
      </c>
    </row>
    <row r="49" spans="1:6" x14ac:dyDescent="0.3">
      <c r="A49" s="12" t="s">
        <v>778</v>
      </c>
      <c r="B49" s="9" t="s">
        <v>5</v>
      </c>
      <c r="C49" s="12" t="s">
        <v>11</v>
      </c>
      <c r="D49" s="12" t="s">
        <v>12</v>
      </c>
      <c r="E49" s="12" t="s">
        <v>779</v>
      </c>
      <c r="F49" s="11" t="s">
        <v>63</v>
      </c>
    </row>
    <row r="50" spans="1:6" x14ac:dyDescent="0.3">
      <c r="A50" s="12" t="s">
        <v>307</v>
      </c>
      <c r="B50" s="9" t="s">
        <v>196</v>
      </c>
      <c r="C50" s="9" t="s">
        <v>68</v>
      </c>
      <c r="D50" s="9" t="s">
        <v>69</v>
      </c>
      <c r="E50" s="11" t="s">
        <v>467</v>
      </c>
      <c r="F50" s="11" t="s">
        <v>181</v>
      </c>
    </row>
    <row r="51" spans="1:6" x14ac:dyDescent="0.3">
      <c r="A51" s="13" t="s">
        <v>252</v>
      </c>
      <c r="B51" s="9" t="s">
        <v>196</v>
      </c>
      <c r="C51" s="12" t="s">
        <v>68</v>
      </c>
      <c r="D51" s="12" t="s">
        <v>69</v>
      </c>
      <c r="E51" s="11" t="s">
        <v>578</v>
      </c>
      <c r="F51" s="11" t="s">
        <v>253</v>
      </c>
    </row>
    <row r="52" spans="1:6" x14ac:dyDescent="0.3">
      <c r="A52" s="12" t="s">
        <v>292</v>
      </c>
      <c r="B52" s="9" t="s">
        <v>196</v>
      </c>
      <c r="C52" s="12" t="s">
        <v>68</v>
      </c>
      <c r="D52" s="12" t="s">
        <v>69</v>
      </c>
      <c r="E52" s="11" t="s">
        <v>454</v>
      </c>
      <c r="F52" s="11" t="s">
        <v>293</v>
      </c>
    </row>
    <row r="53" spans="1:6" x14ac:dyDescent="0.3">
      <c r="A53" s="9" t="s">
        <v>280</v>
      </c>
      <c r="B53" s="9" t="s">
        <v>196</v>
      </c>
      <c r="C53" s="9" t="s">
        <v>75</v>
      </c>
      <c r="D53" s="9" t="s">
        <v>79</v>
      </c>
      <c r="E53" s="11" t="s">
        <v>491</v>
      </c>
      <c r="F53" s="11" t="s">
        <v>579</v>
      </c>
    </row>
    <row r="54" spans="1:6" x14ac:dyDescent="0.3">
      <c r="A54" s="9" t="s">
        <v>296</v>
      </c>
      <c r="B54" s="9" t="s">
        <v>196</v>
      </c>
      <c r="C54" s="9" t="s">
        <v>75</v>
      </c>
      <c r="D54" s="9" t="s">
        <v>79</v>
      </c>
      <c r="E54" s="11" t="s">
        <v>494</v>
      </c>
      <c r="F54" s="11" t="s">
        <v>212</v>
      </c>
    </row>
    <row r="55" spans="1:6" x14ac:dyDescent="0.3">
      <c r="A55" s="12" t="s">
        <v>265</v>
      </c>
      <c r="B55" s="9" t="s">
        <v>196</v>
      </c>
      <c r="C55" s="12" t="s">
        <v>75</v>
      </c>
      <c r="D55" s="12" t="s">
        <v>79</v>
      </c>
      <c r="E55" s="11" t="s">
        <v>456</v>
      </c>
      <c r="F55" s="11" t="s">
        <v>134</v>
      </c>
    </row>
    <row r="56" spans="1:6" x14ac:dyDescent="0.3">
      <c r="A56" s="9" t="s">
        <v>240</v>
      </c>
      <c r="B56" s="9" t="s">
        <v>5</v>
      </c>
      <c r="C56" s="9" t="s">
        <v>75</v>
      </c>
      <c r="D56" s="9" t="s">
        <v>79</v>
      </c>
      <c r="E56" s="11" t="s">
        <v>456</v>
      </c>
      <c r="F56" s="11" t="s">
        <v>8</v>
      </c>
    </row>
    <row r="57" spans="1:6" x14ac:dyDescent="0.3">
      <c r="A57" s="9" t="s">
        <v>272</v>
      </c>
      <c r="B57" s="9" t="s">
        <v>196</v>
      </c>
      <c r="C57" s="9" t="s">
        <v>75</v>
      </c>
      <c r="D57" s="9" t="s">
        <v>79</v>
      </c>
      <c r="E57" s="11" t="s">
        <v>456</v>
      </c>
      <c r="F57" s="11" t="s">
        <v>66</v>
      </c>
    </row>
    <row r="58" spans="1:6" x14ac:dyDescent="0.3">
      <c r="A58" s="9" t="s">
        <v>217</v>
      </c>
      <c r="B58" s="9" t="s">
        <v>196</v>
      </c>
      <c r="C58" s="9" t="s">
        <v>75</v>
      </c>
      <c r="D58" s="9" t="s">
        <v>79</v>
      </c>
      <c r="E58" s="10" t="s">
        <v>456</v>
      </c>
      <c r="F58" s="10" t="s">
        <v>727</v>
      </c>
    </row>
    <row r="59" spans="1:6" x14ac:dyDescent="0.3">
      <c r="A59" s="9" t="s">
        <v>223</v>
      </c>
      <c r="B59" s="9" t="s">
        <v>196</v>
      </c>
      <c r="C59" s="9" t="s">
        <v>3</v>
      </c>
      <c r="D59" s="9" t="s">
        <v>79</v>
      </c>
      <c r="E59" s="11" t="s">
        <v>456</v>
      </c>
      <c r="F59" s="11" t="s">
        <v>224</v>
      </c>
    </row>
    <row r="60" spans="1:6" x14ac:dyDescent="0.3">
      <c r="A60" s="9" t="s">
        <v>56</v>
      </c>
      <c r="B60" s="9" t="s">
        <v>196</v>
      </c>
      <c r="C60" s="9" t="s">
        <v>75</v>
      </c>
      <c r="D60" s="9" t="s">
        <v>4</v>
      </c>
      <c r="E60" s="11" t="s">
        <v>456</v>
      </c>
      <c r="F60" s="11" t="s">
        <v>247</v>
      </c>
    </row>
    <row r="61" spans="1:6" x14ac:dyDescent="0.3">
      <c r="A61" s="9" t="s">
        <v>233</v>
      </c>
      <c r="B61" s="9" t="s">
        <v>196</v>
      </c>
      <c r="C61" s="9" t="s">
        <v>3</v>
      </c>
      <c r="D61" s="9" t="s">
        <v>79</v>
      </c>
      <c r="E61" s="11" t="s">
        <v>446</v>
      </c>
      <c r="F61" s="11" t="s">
        <v>80</v>
      </c>
    </row>
    <row r="62" spans="1:6" x14ac:dyDescent="0.3">
      <c r="A62" s="12" t="s">
        <v>254</v>
      </c>
      <c r="B62" s="9" t="s">
        <v>196</v>
      </c>
      <c r="C62" s="12" t="s">
        <v>75</v>
      </c>
      <c r="D62" s="12" t="s">
        <v>79</v>
      </c>
      <c r="E62" s="11" t="s">
        <v>553</v>
      </c>
      <c r="F62" s="11" t="s">
        <v>137</v>
      </c>
    </row>
    <row r="63" spans="1:6" x14ac:dyDescent="0.3">
      <c r="A63" s="9" t="s">
        <v>234</v>
      </c>
      <c r="B63" s="12" t="s">
        <v>196</v>
      </c>
      <c r="C63" s="9" t="s">
        <v>235</v>
      </c>
      <c r="D63" s="9" t="s">
        <v>7</v>
      </c>
      <c r="E63" s="12" t="s">
        <v>486</v>
      </c>
      <c r="F63" s="11" t="s">
        <v>134</v>
      </c>
    </row>
    <row r="64" spans="1:6" x14ac:dyDescent="0.3">
      <c r="A64" s="11" t="s">
        <v>246</v>
      </c>
      <c r="B64" s="9" t="s">
        <v>196</v>
      </c>
      <c r="C64" s="9" t="s">
        <v>75</v>
      </c>
      <c r="D64" s="9" t="s">
        <v>79</v>
      </c>
      <c r="E64" s="10" t="s">
        <v>486</v>
      </c>
      <c r="F64" s="10" t="s">
        <v>134</v>
      </c>
    </row>
    <row r="65" spans="1:6" x14ac:dyDescent="0.3">
      <c r="A65" s="9" t="s">
        <v>297</v>
      </c>
      <c r="B65" s="9" t="s">
        <v>196</v>
      </c>
      <c r="C65" s="9" t="s">
        <v>75</v>
      </c>
      <c r="D65" s="9" t="s">
        <v>79</v>
      </c>
      <c r="E65" s="11" t="s">
        <v>486</v>
      </c>
      <c r="F65" s="11" t="s">
        <v>298</v>
      </c>
    </row>
    <row r="66" spans="1:6" x14ac:dyDescent="0.3">
      <c r="A66" s="9" t="s">
        <v>258</v>
      </c>
      <c r="B66" s="9" t="s">
        <v>196</v>
      </c>
      <c r="C66" s="9" t="s">
        <v>75</v>
      </c>
      <c r="D66" s="9" t="s">
        <v>79</v>
      </c>
      <c r="E66" s="11" t="s">
        <v>18</v>
      </c>
      <c r="F66" s="11" t="s">
        <v>259</v>
      </c>
    </row>
    <row r="67" spans="1:6" x14ac:dyDescent="0.3">
      <c r="A67" s="12" t="s">
        <v>249</v>
      </c>
      <c r="B67" s="9" t="s">
        <v>196</v>
      </c>
      <c r="C67" s="9" t="s">
        <v>75</v>
      </c>
      <c r="D67" s="9" t="s">
        <v>79</v>
      </c>
      <c r="E67" s="11" t="s">
        <v>459</v>
      </c>
      <c r="F67" s="11" t="s">
        <v>250</v>
      </c>
    </row>
    <row r="68" spans="1:6" x14ac:dyDescent="0.3">
      <c r="A68" s="9" t="s">
        <v>248</v>
      </c>
      <c r="B68" s="9" t="s">
        <v>196</v>
      </c>
      <c r="C68" s="9" t="s">
        <v>75</v>
      </c>
      <c r="D68" s="9" t="s">
        <v>79</v>
      </c>
      <c r="E68" s="11" t="s">
        <v>459</v>
      </c>
      <c r="F68" s="11" t="s">
        <v>137</v>
      </c>
    </row>
    <row r="69" spans="1:6" x14ac:dyDescent="0.3">
      <c r="A69" s="12" t="s">
        <v>43</v>
      </c>
      <c r="B69" s="9" t="s">
        <v>5</v>
      </c>
      <c r="C69" s="12" t="s">
        <v>198</v>
      </c>
      <c r="D69" s="12" t="s">
        <v>4</v>
      </c>
      <c r="E69" s="11" t="s">
        <v>444</v>
      </c>
      <c r="F69" s="11" t="s">
        <v>199</v>
      </c>
    </row>
    <row r="70" spans="1:6" x14ac:dyDescent="0.3">
      <c r="A70" s="9" t="s">
        <v>313</v>
      </c>
      <c r="B70" s="12" t="s">
        <v>196</v>
      </c>
      <c r="C70" s="9" t="s">
        <v>75</v>
      </c>
      <c r="D70" s="9" t="s">
        <v>79</v>
      </c>
      <c r="E70" s="11" t="s">
        <v>487</v>
      </c>
      <c r="F70" s="11" t="s">
        <v>134</v>
      </c>
    </row>
    <row r="71" spans="1:6" x14ac:dyDescent="0.3">
      <c r="A71" s="9" t="s">
        <v>238</v>
      </c>
      <c r="B71" s="9" t="s">
        <v>196</v>
      </c>
      <c r="C71" s="9" t="s">
        <v>75</v>
      </c>
      <c r="D71" s="9" t="s">
        <v>79</v>
      </c>
      <c r="E71" s="11" t="s">
        <v>471</v>
      </c>
      <c r="F71" s="11" t="s">
        <v>134</v>
      </c>
    </row>
    <row r="72" spans="1:6" x14ac:dyDescent="0.3">
      <c r="A72" s="9" t="s">
        <v>239</v>
      </c>
      <c r="B72" s="9" t="s">
        <v>196</v>
      </c>
      <c r="C72" s="9" t="s">
        <v>75</v>
      </c>
      <c r="D72" s="9" t="s">
        <v>79</v>
      </c>
      <c r="E72" s="10" t="s">
        <v>471</v>
      </c>
      <c r="F72" s="10" t="s">
        <v>212</v>
      </c>
    </row>
    <row r="73" spans="1:6" x14ac:dyDescent="0.3">
      <c r="A73" s="9" t="s">
        <v>220</v>
      </c>
      <c r="B73" s="9" t="s">
        <v>196</v>
      </c>
      <c r="C73" s="9" t="s">
        <v>3</v>
      </c>
      <c r="D73" s="9" t="s">
        <v>79</v>
      </c>
      <c r="E73" s="11" t="s">
        <v>442</v>
      </c>
      <c r="F73" s="10" t="s">
        <v>744</v>
      </c>
    </row>
    <row r="74" spans="1:6" x14ac:dyDescent="0.3">
      <c r="A74" s="9" t="s">
        <v>275</v>
      </c>
      <c r="B74" s="9" t="s">
        <v>196</v>
      </c>
      <c r="C74" s="9" t="s">
        <v>75</v>
      </c>
      <c r="D74" s="9" t="s">
        <v>79</v>
      </c>
      <c r="E74" s="11" t="s">
        <v>442</v>
      </c>
      <c r="F74" s="11" t="s">
        <v>276</v>
      </c>
    </row>
    <row r="75" spans="1:6" x14ac:dyDescent="0.3">
      <c r="A75" s="12" t="s">
        <v>225</v>
      </c>
      <c r="B75" s="9" t="s">
        <v>196</v>
      </c>
      <c r="C75" s="12" t="s">
        <v>75</v>
      </c>
      <c r="D75" s="12" t="s">
        <v>79</v>
      </c>
      <c r="E75" s="11" t="s">
        <v>745</v>
      </c>
      <c r="F75" s="11" t="s">
        <v>226</v>
      </c>
    </row>
    <row r="76" spans="1:6" x14ac:dyDescent="0.3">
      <c r="A76" s="9" t="s">
        <v>244</v>
      </c>
      <c r="B76" s="12" t="s">
        <v>196</v>
      </c>
      <c r="C76" s="9" t="s">
        <v>6</v>
      </c>
      <c r="D76" s="9" t="s">
        <v>7</v>
      </c>
      <c r="E76" s="10" t="s">
        <v>542</v>
      </c>
      <c r="F76" s="10" t="s">
        <v>245</v>
      </c>
    </row>
    <row r="77" spans="1:6" x14ac:dyDescent="0.3">
      <c r="A77" s="13" t="s">
        <v>311</v>
      </c>
      <c r="B77" s="12" t="s">
        <v>196</v>
      </c>
      <c r="C77" s="9" t="s">
        <v>75</v>
      </c>
      <c r="D77" s="9" t="s">
        <v>79</v>
      </c>
      <c r="E77" s="11" t="s">
        <v>502</v>
      </c>
      <c r="F77" s="11" t="s">
        <v>312</v>
      </c>
    </row>
    <row r="78" spans="1:6" x14ac:dyDescent="0.3">
      <c r="A78" s="12" t="s">
        <v>302</v>
      </c>
      <c r="B78" s="9" t="s">
        <v>196</v>
      </c>
      <c r="C78" s="12" t="s">
        <v>75</v>
      </c>
      <c r="D78" s="12" t="s">
        <v>79</v>
      </c>
      <c r="E78" s="11" t="s">
        <v>371</v>
      </c>
      <c r="F78" s="11" t="s">
        <v>212</v>
      </c>
    </row>
    <row r="79" spans="1:6" x14ac:dyDescent="0.3">
      <c r="A79" s="12" t="s">
        <v>251</v>
      </c>
      <c r="B79" s="9" t="s">
        <v>196</v>
      </c>
      <c r="C79" s="12" t="s">
        <v>3</v>
      </c>
      <c r="D79" s="12" t="s">
        <v>79</v>
      </c>
      <c r="E79" s="11" t="s">
        <v>454</v>
      </c>
      <c r="F79" s="11" t="s">
        <v>134</v>
      </c>
    </row>
    <row r="80" spans="1:6" x14ac:dyDescent="0.3">
      <c r="A80" s="12" t="s">
        <v>266</v>
      </c>
      <c r="B80" s="9" t="s">
        <v>196</v>
      </c>
      <c r="C80" s="12" t="s">
        <v>75</v>
      </c>
      <c r="D80" s="12" t="s">
        <v>79</v>
      </c>
      <c r="E80" s="12" t="s">
        <v>454</v>
      </c>
      <c r="F80" s="11" t="s">
        <v>134</v>
      </c>
    </row>
    <row r="81" spans="1:6" x14ac:dyDescent="0.3">
      <c r="A81" s="9" t="s">
        <v>45</v>
      </c>
      <c r="B81" s="9" t="s">
        <v>196</v>
      </c>
      <c r="C81" s="9" t="s">
        <v>198</v>
      </c>
      <c r="D81" s="9" t="s">
        <v>12</v>
      </c>
      <c r="E81" s="11" t="s">
        <v>491</v>
      </c>
      <c r="F81" s="11" t="s">
        <v>34</v>
      </c>
    </row>
    <row r="82" spans="1:6" x14ac:dyDescent="0.3">
      <c r="A82" s="12" t="s">
        <v>203</v>
      </c>
      <c r="B82" s="9" t="s">
        <v>196</v>
      </c>
      <c r="C82" s="12" t="s">
        <v>198</v>
      </c>
      <c r="D82" s="12" t="s">
        <v>12</v>
      </c>
      <c r="E82" s="11" t="s">
        <v>491</v>
      </c>
      <c r="F82" s="11" t="s">
        <v>204</v>
      </c>
    </row>
    <row r="83" spans="1:6" x14ac:dyDescent="0.3">
      <c r="A83" s="12" t="s">
        <v>202</v>
      </c>
      <c r="B83" s="9" t="s">
        <v>193</v>
      </c>
      <c r="C83" s="12" t="s">
        <v>75</v>
      </c>
      <c r="D83" s="12" t="s">
        <v>191</v>
      </c>
      <c r="E83" s="11" t="s">
        <v>470</v>
      </c>
      <c r="F83" s="11" t="s">
        <v>20</v>
      </c>
    </row>
    <row r="84" spans="1:6" x14ac:dyDescent="0.3">
      <c r="A84" s="9" t="s">
        <v>207</v>
      </c>
      <c r="B84" s="9" t="s">
        <v>193</v>
      </c>
      <c r="C84" s="9" t="s">
        <v>3</v>
      </c>
      <c r="D84" s="9" t="s">
        <v>12</v>
      </c>
      <c r="E84" s="11" t="s">
        <v>470</v>
      </c>
      <c r="F84" s="11" t="s">
        <v>121</v>
      </c>
    </row>
    <row r="85" spans="1:6" x14ac:dyDescent="0.3">
      <c r="A85" s="9" t="s">
        <v>777</v>
      </c>
      <c r="B85" s="9" t="s">
        <v>5</v>
      </c>
      <c r="C85" s="9" t="s">
        <v>11</v>
      </c>
      <c r="D85" s="9" t="s">
        <v>4</v>
      </c>
      <c r="E85" s="11" t="s">
        <v>21</v>
      </c>
      <c r="F85" s="11" t="s">
        <v>136</v>
      </c>
    </row>
    <row r="86" spans="1:6" x14ac:dyDescent="0.3">
      <c r="A86" s="12" t="s">
        <v>205</v>
      </c>
      <c r="B86" s="9" t="s">
        <v>5</v>
      </c>
      <c r="C86" s="12" t="s">
        <v>198</v>
      </c>
      <c r="D86" s="12" t="s">
        <v>191</v>
      </c>
      <c r="E86" s="11" t="s">
        <v>371</v>
      </c>
      <c r="F86" s="11" t="s">
        <v>46</v>
      </c>
    </row>
    <row r="87" spans="1:6" x14ac:dyDescent="0.3">
      <c r="A87" s="12" t="s">
        <v>200</v>
      </c>
      <c r="B87" s="9" t="s">
        <v>5</v>
      </c>
      <c r="C87" s="12" t="s">
        <v>198</v>
      </c>
      <c r="D87" s="12" t="s">
        <v>12</v>
      </c>
      <c r="E87" s="11" t="s">
        <v>467</v>
      </c>
      <c r="F87" s="11" t="s">
        <v>10</v>
      </c>
    </row>
    <row r="88" spans="1:6" x14ac:dyDescent="0.3">
      <c r="A88" s="9" t="s">
        <v>256</v>
      </c>
      <c r="B88" s="9" t="s">
        <v>196</v>
      </c>
      <c r="C88" s="9" t="s">
        <v>75</v>
      </c>
      <c r="D88" s="9" t="s">
        <v>69</v>
      </c>
      <c r="E88" s="10" t="s">
        <v>467</v>
      </c>
      <c r="F88" s="10" t="s">
        <v>257</v>
      </c>
    </row>
    <row r="89" spans="1:6" x14ac:dyDescent="0.3">
      <c r="A89" s="9" t="s">
        <v>270</v>
      </c>
      <c r="B89" s="9" t="s">
        <v>196</v>
      </c>
      <c r="C89" s="9" t="s">
        <v>75</v>
      </c>
      <c r="D89" s="9" t="s">
        <v>69</v>
      </c>
      <c r="E89" s="11" t="s">
        <v>467</v>
      </c>
      <c r="F89" s="11" t="s">
        <v>271</v>
      </c>
    </row>
    <row r="90" spans="1:6" x14ac:dyDescent="0.3">
      <c r="A90" s="13" t="s">
        <v>299</v>
      </c>
      <c r="B90" s="9" t="s">
        <v>196</v>
      </c>
      <c r="C90" s="9" t="s">
        <v>75</v>
      </c>
      <c r="D90" s="9" t="s">
        <v>69</v>
      </c>
      <c r="E90" s="11" t="s">
        <v>577</v>
      </c>
      <c r="F90" s="11" t="s">
        <v>300</v>
      </c>
    </row>
    <row r="91" spans="1:6" x14ac:dyDescent="0.3">
      <c r="A91" s="9" t="s">
        <v>172</v>
      </c>
      <c r="B91" s="12" t="s">
        <v>81</v>
      </c>
      <c r="C91" s="9" t="s">
        <v>68</v>
      </c>
      <c r="D91" s="9" t="s">
        <v>84</v>
      </c>
      <c r="E91" s="11" t="s">
        <v>153</v>
      </c>
      <c r="F91" s="11" t="s">
        <v>173</v>
      </c>
    </row>
    <row r="92" spans="1:6" x14ac:dyDescent="0.3">
      <c r="A92" s="12" t="s">
        <v>135</v>
      </c>
      <c r="B92" s="12" t="s">
        <v>81</v>
      </c>
      <c r="C92" s="12" t="s">
        <v>68</v>
      </c>
      <c r="D92" s="12" t="s">
        <v>79</v>
      </c>
      <c r="E92" s="11" t="s">
        <v>89</v>
      </c>
      <c r="F92" s="11" t="s">
        <v>137</v>
      </c>
    </row>
    <row r="93" spans="1:6" x14ac:dyDescent="0.3">
      <c r="A93" s="12" t="s">
        <v>111</v>
      </c>
      <c r="B93" s="12" t="s">
        <v>81</v>
      </c>
      <c r="C93" s="12" t="s">
        <v>68</v>
      </c>
      <c r="D93" s="12" t="s">
        <v>84</v>
      </c>
      <c r="E93" s="11" t="s">
        <v>18</v>
      </c>
      <c r="F93" s="11" t="s">
        <v>27</v>
      </c>
    </row>
    <row r="94" spans="1:6" x14ac:dyDescent="0.3">
      <c r="A94" s="11" t="s">
        <v>64</v>
      </c>
      <c r="B94" s="9" t="s">
        <v>2</v>
      </c>
      <c r="C94" s="11" t="s">
        <v>11</v>
      </c>
      <c r="D94" s="11" t="s">
        <v>4</v>
      </c>
      <c r="E94" s="11" t="s">
        <v>65</v>
      </c>
      <c r="F94" s="11" t="s">
        <v>66</v>
      </c>
    </row>
    <row r="95" spans="1:6" x14ac:dyDescent="0.3">
      <c r="A95" s="9" t="s">
        <v>127</v>
      </c>
      <c r="B95" s="9" t="s">
        <v>81</v>
      </c>
      <c r="C95" s="9" t="s">
        <v>68</v>
      </c>
      <c r="D95" s="9" t="s">
        <v>79</v>
      </c>
      <c r="E95" s="11" t="s">
        <v>108</v>
      </c>
      <c r="F95" s="11" t="s">
        <v>128</v>
      </c>
    </row>
    <row r="96" spans="1:6" x14ac:dyDescent="0.3">
      <c r="A96" s="9" t="s">
        <v>123</v>
      </c>
      <c r="B96" s="9" t="s">
        <v>81</v>
      </c>
      <c r="C96" s="9" t="s">
        <v>68</v>
      </c>
      <c r="D96" s="9" t="s">
        <v>79</v>
      </c>
      <c r="E96" s="10" t="s">
        <v>125</v>
      </c>
      <c r="F96" s="10" t="s">
        <v>126</v>
      </c>
    </row>
    <row r="97" spans="1:6" x14ac:dyDescent="0.3">
      <c r="A97" s="12" t="s">
        <v>113</v>
      </c>
      <c r="B97" s="12" t="s">
        <v>81</v>
      </c>
      <c r="C97" s="9" t="s">
        <v>68</v>
      </c>
      <c r="D97" s="9" t="s">
        <v>79</v>
      </c>
      <c r="E97" s="11" t="s">
        <v>87</v>
      </c>
      <c r="F97" s="11" t="s">
        <v>102</v>
      </c>
    </row>
    <row r="98" spans="1:6" x14ac:dyDescent="0.3">
      <c r="A98" s="11" t="s">
        <v>146</v>
      </c>
      <c r="B98" s="12" t="s">
        <v>81</v>
      </c>
      <c r="C98" s="9" t="s">
        <v>61</v>
      </c>
      <c r="D98" s="9" t="s">
        <v>79</v>
      </c>
      <c r="E98" s="10" t="s">
        <v>147</v>
      </c>
      <c r="F98" s="10" t="s">
        <v>148</v>
      </c>
    </row>
    <row r="99" spans="1:6" x14ac:dyDescent="0.3">
      <c r="A99" s="9" t="s">
        <v>170</v>
      </c>
      <c r="B99" s="12" t="s">
        <v>81</v>
      </c>
      <c r="C99" s="12" t="s">
        <v>68</v>
      </c>
      <c r="D99" s="9" t="s">
        <v>79</v>
      </c>
      <c r="E99" s="9" t="s">
        <v>124</v>
      </c>
      <c r="F99" s="9" t="s">
        <v>171</v>
      </c>
    </row>
    <row r="100" spans="1:6" x14ac:dyDescent="0.3">
      <c r="A100" s="12" t="s">
        <v>93</v>
      </c>
      <c r="B100" s="9" t="s">
        <v>60</v>
      </c>
      <c r="C100" s="12" t="s">
        <v>68</v>
      </c>
      <c r="D100" s="12" t="s">
        <v>69</v>
      </c>
      <c r="E100" s="11" t="s">
        <v>94</v>
      </c>
      <c r="F100" s="11" t="s">
        <v>95</v>
      </c>
    </row>
    <row r="101" spans="1:6" x14ac:dyDescent="0.3">
      <c r="A101" s="9" t="s">
        <v>112</v>
      </c>
      <c r="B101" s="12" t="s">
        <v>81</v>
      </c>
      <c r="C101" s="9" t="s">
        <v>68</v>
      </c>
      <c r="D101" s="9" t="s">
        <v>69</v>
      </c>
      <c r="E101" s="11" t="s">
        <v>94</v>
      </c>
      <c r="F101" s="11" t="s">
        <v>63</v>
      </c>
    </row>
    <row r="102" spans="1:6" x14ac:dyDescent="0.3">
      <c r="A102" s="9" t="s">
        <v>101</v>
      </c>
      <c r="B102" s="9" t="s">
        <v>60</v>
      </c>
      <c r="C102" s="9" t="s">
        <v>68</v>
      </c>
      <c r="D102" s="9" t="s">
        <v>69</v>
      </c>
      <c r="E102" s="9" t="s">
        <v>82</v>
      </c>
      <c r="F102" s="9" t="s">
        <v>102</v>
      </c>
    </row>
    <row r="103" spans="1:6" x14ac:dyDescent="0.3">
      <c r="A103" s="9" t="s">
        <v>167</v>
      </c>
      <c r="B103" s="9" t="s">
        <v>81</v>
      </c>
      <c r="C103" s="9" t="s">
        <v>68</v>
      </c>
      <c r="D103" s="9" t="s">
        <v>69</v>
      </c>
      <c r="E103" s="11" t="s">
        <v>168</v>
      </c>
      <c r="F103" s="11" t="s">
        <v>169</v>
      </c>
    </row>
    <row r="104" spans="1:6" x14ac:dyDescent="0.3">
      <c r="A104" s="9" t="s">
        <v>152</v>
      </c>
      <c r="B104" s="12" t="s">
        <v>81</v>
      </c>
      <c r="C104" s="9" t="s">
        <v>68</v>
      </c>
      <c r="D104" s="9" t="s">
        <v>69</v>
      </c>
      <c r="E104" s="9" t="s">
        <v>82</v>
      </c>
      <c r="F104" s="9" t="s">
        <v>154</v>
      </c>
    </row>
    <row r="105" spans="1:6" x14ac:dyDescent="0.3">
      <c r="A105" s="9" t="s">
        <v>190</v>
      </c>
      <c r="B105" s="12" t="s">
        <v>2</v>
      </c>
      <c r="C105" s="12" t="s">
        <v>11</v>
      </c>
      <c r="D105" s="12" t="s">
        <v>12</v>
      </c>
      <c r="E105" s="10" t="s">
        <v>17</v>
      </c>
      <c r="F105" s="10" t="s">
        <v>28</v>
      </c>
    </row>
    <row r="106" spans="1:6" x14ac:dyDescent="0.3">
      <c r="A106" s="9" t="s">
        <v>138</v>
      </c>
      <c r="B106" s="12" t="s">
        <v>81</v>
      </c>
      <c r="C106" s="12" t="s">
        <v>68</v>
      </c>
      <c r="D106" s="12" t="s">
        <v>69</v>
      </c>
      <c r="E106" s="11" t="s">
        <v>91</v>
      </c>
      <c r="F106" s="11" t="s">
        <v>139</v>
      </c>
    </row>
    <row r="107" spans="1:6" x14ac:dyDescent="0.3">
      <c r="A107" s="11" t="s">
        <v>67</v>
      </c>
      <c r="B107" s="9" t="s">
        <v>60</v>
      </c>
      <c r="C107" s="11" t="s">
        <v>68</v>
      </c>
      <c r="D107" s="11" t="s">
        <v>69</v>
      </c>
      <c r="E107" s="11" t="s">
        <v>70</v>
      </c>
      <c r="F107" s="11" t="s">
        <v>71</v>
      </c>
    </row>
    <row r="108" spans="1:6" x14ac:dyDescent="0.3">
      <c r="A108" s="12" t="s">
        <v>140</v>
      </c>
      <c r="B108" s="12" t="s">
        <v>81</v>
      </c>
      <c r="C108" s="12" t="s">
        <v>68</v>
      </c>
      <c r="D108" s="12" t="s">
        <v>69</v>
      </c>
      <c r="E108" s="12" t="s">
        <v>122</v>
      </c>
      <c r="F108" s="11" t="s">
        <v>141</v>
      </c>
    </row>
    <row r="109" spans="1:6" x14ac:dyDescent="0.3">
      <c r="A109" s="9" t="s">
        <v>149</v>
      </c>
      <c r="B109" s="12" t="s">
        <v>81</v>
      </c>
      <c r="C109" s="9" t="s">
        <v>68</v>
      </c>
      <c r="D109" s="9" t="s">
        <v>69</v>
      </c>
      <c r="E109" s="11" t="s">
        <v>92</v>
      </c>
      <c r="F109" s="10" t="s">
        <v>99</v>
      </c>
    </row>
    <row r="110" spans="1:6" x14ac:dyDescent="0.3">
      <c r="A110" s="9" t="s">
        <v>114</v>
      </c>
      <c r="B110" s="9" t="s">
        <v>81</v>
      </c>
      <c r="C110" s="9" t="s">
        <v>68</v>
      </c>
      <c r="D110" s="9" t="s">
        <v>69</v>
      </c>
      <c r="E110" s="9" t="s">
        <v>98</v>
      </c>
      <c r="F110" s="9" t="s">
        <v>115</v>
      </c>
    </row>
    <row r="111" spans="1:6" x14ac:dyDescent="0.3">
      <c r="A111" s="12" t="s">
        <v>165</v>
      </c>
      <c r="B111" s="12" t="s">
        <v>81</v>
      </c>
      <c r="C111" s="12" t="s">
        <v>68</v>
      </c>
      <c r="D111" s="12" t="s">
        <v>69</v>
      </c>
      <c r="E111" s="12" t="s">
        <v>166</v>
      </c>
      <c r="F111" s="11"/>
    </row>
    <row r="112" spans="1:6" x14ac:dyDescent="0.3">
      <c r="A112" s="9" t="s">
        <v>144</v>
      </c>
      <c r="B112" s="12" t="s">
        <v>81</v>
      </c>
      <c r="C112" s="9" t="s">
        <v>68</v>
      </c>
      <c r="D112" s="9" t="s">
        <v>69</v>
      </c>
      <c r="E112" s="11" t="s">
        <v>86</v>
      </c>
      <c r="F112" s="11" t="s">
        <v>121</v>
      </c>
    </row>
    <row r="113" spans="1:6" x14ac:dyDescent="0.3">
      <c r="A113" s="12" t="s">
        <v>186</v>
      </c>
      <c r="B113" s="12" t="s">
        <v>81</v>
      </c>
      <c r="C113" s="12" t="s">
        <v>6</v>
      </c>
      <c r="D113" s="12" t="s">
        <v>7</v>
      </c>
      <c r="E113" s="11" t="s">
        <v>145</v>
      </c>
      <c r="F113" s="11" t="s">
        <v>137</v>
      </c>
    </row>
    <row r="114" spans="1:6" x14ac:dyDescent="0.3">
      <c r="A114" s="12" t="s">
        <v>105</v>
      </c>
      <c r="B114" s="12" t="s">
        <v>81</v>
      </c>
      <c r="C114" s="12" t="s">
        <v>75</v>
      </c>
      <c r="D114" s="9" t="s">
        <v>79</v>
      </c>
      <c r="E114" s="9" t="s">
        <v>106</v>
      </c>
      <c r="F114" s="9" t="s">
        <v>107</v>
      </c>
    </row>
    <row r="115" spans="1:6" x14ac:dyDescent="0.3">
      <c r="A115" s="12" t="s">
        <v>109</v>
      </c>
      <c r="B115" s="12" t="s">
        <v>81</v>
      </c>
      <c r="C115" s="12" t="s">
        <v>75</v>
      </c>
      <c r="D115" s="9" t="s">
        <v>79</v>
      </c>
      <c r="E115" s="9" t="s">
        <v>106</v>
      </c>
      <c r="F115" s="9" t="s">
        <v>110</v>
      </c>
    </row>
    <row r="116" spans="1:6" x14ac:dyDescent="0.3">
      <c r="A116" s="9" t="s">
        <v>133</v>
      </c>
      <c r="B116" s="9" t="s">
        <v>81</v>
      </c>
      <c r="C116" s="9" t="s">
        <v>73</v>
      </c>
      <c r="D116" s="9" t="s">
        <v>79</v>
      </c>
      <c r="E116" s="11" t="s">
        <v>131</v>
      </c>
      <c r="F116" s="11" t="s">
        <v>134</v>
      </c>
    </row>
    <row r="117" spans="1:6" x14ac:dyDescent="0.3">
      <c r="A117" s="9" t="s">
        <v>159</v>
      </c>
      <c r="B117" s="12" t="s">
        <v>81</v>
      </c>
      <c r="C117" s="11" t="s">
        <v>75</v>
      </c>
      <c r="D117" s="11" t="s">
        <v>79</v>
      </c>
      <c r="E117" s="9" t="s">
        <v>131</v>
      </c>
      <c r="F117" s="9" t="s">
        <v>160</v>
      </c>
    </row>
    <row r="118" spans="1:6" x14ac:dyDescent="0.3">
      <c r="A118" s="9" t="s">
        <v>174</v>
      </c>
      <c r="B118" s="9" t="s">
        <v>81</v>
      </c>
      <c r="C118" s="9" t="s">
        <v>75</v>
      </c>
      <c r="D118" s="9" t="s">
        <v>79</v>
      </c>
      <c r="E118" s="9" t="s">
        <v>176</v>
      </c>
      <c r="F118" s="9" t="s">
        <v>177</v>
      </c>
    </row>
    <row r="119" spans="1:6" x14ac:dyDescent="0.3">
      <c r="A119" s="12" t="s">
        <v>78</v>
      </c>
      <c r="B119" s="9" t="s">
        <v>81</v>
      </c>
      <c r="C119" s="12" t="s">
        <v>75</v>
      </c>
      <c r="D119" s="12" t="s">
        <v>84</v>
      </c>
      <c r="E119" s="11" t="s">
        <v>85</v>
      </c>
      <c r="F119" s="11" t="s">
        <v>80</v>
      </c>
    </row>
    <row r="120" spans="1:6" x14ac:dyDescent="0.3">
      <c r="A120" s="12" t="s">
        <v>188</v>
      </c>
      <c r="B120" s="12" t="s">
        <v>81</v>
      </c>
      <c r="C120" s="11" t="s">
        <v>75</v>
      </c>
      <c r="D120" s="11" t="s">
        <v>79</v>
      </c>
      <c r="E120" s="9" t="s">
        <v>124</v>
      </c>
      <c r="F120" s="11" t="s">
        <v>132</v>
      </c>
    </row>
    <row r="121" spans="1:6" x14ac:dyDescent="0.3">
      <c r="A121" s="9" t="s">
        <v>129</v>
      </c>
      <c r="B121" s="9" t="s">
        <v>81</v>
      </c>
      <c r="C121" s="9" t="s">
        <v>75</v>
      </c>
      <c r="D121" s="9" t="s">
        <v>84</v>
      </c>
      <c r="E121" s="9" t="s">
        <v>86</v>
      </c>
      <c r="F121" s="9" t="s">
        <v>110</v>
      </c>
    </row>
    <row r="122" spans="1:6" x14ac:dyDescent="0.3">
      <c r="A122" s="13" t="s">
        <v>155</v>
      </c>
      <c r="B122" s="12" t="s">
        <v>81</v>
      </c>
      <c r="C122" s="11" t="s">
        <v>75</v>
      </c>
      <c r="D122" s="11" t="s">
        <v>69</v>
      </c>
      <c r="E122" s="11" t="s">
        <v>118</v>
      </c>
      <c r="F122" s="11" t="s">
        <v>156</v>
      </c>
    </row>
    <row r="123" spans="1:6" x14ac:dyDescent="0.3">
      <c r="A123" s="12" t="s">
        <v>162</v>
      </c>
      <c r="B123" s="12" t="s">
        <v>81</v>
      </c>
      <c r="C123" s="12" t="s">
        <v>75</v>
      </c>
      <c r="D123" s="12" t="s">
        <v>69</v>
      </c>
      <c r="E123" s="11" t="s">
        <v>89</v>
      </c>
      <c r="F123" s="11" t="s">
        <v>163</v>
      </c>
    </row>
    <row r="124" spans="1:6" x14ac:dyDescent="0.3">
      <c r="A124" s="12" t="s">
        <v>88</v>
      </c>
      <c r="B124" s="9" t="s">
        <v>2</v>
      </c>
      <c r="C124" s="12" t="s">
        <v>75</v>
      </c>
      <c r="D124" s="11" t="s">
        <v>69</v>
      </c>
      <c r="E124" s="11" t="s">
        <v>89</v>
      </c>
      <c r="F124" s="11" t="s">
        <v>90</v>
      </c>
    </row>
    <row r="125" spans="1:6" x14ac:dyDescent="0.3">
      <c r="A125" s="13" t="s">
        <v>157</v>
      </c>
      <c r="B125" s="12" t="s">
        <v>81</v>
      </c>
      <c r="C125" s="11" t="s">
        <v>75</v>
      </c>
      <c r="D125" s="11" t="s">
        <v>69</v>
      </c>
      <c r="E125" s="9" t="s">
        <v>158</v>
      </c>
      <c r="F125" s="9" t="s">
        <v>90</v>
      </c>
    </row>
    <row r="126" spans="1:6" x14ac:dyDescent="0.3">
      <c r="A126" s="12" t="s">
        <v>116</v>
      </c>
      <c r="B126" s="9" t="s">
        <v>60</v>
      </c>
      <c r="C126" s="11" t="s">
        <v>73</v>
      </c>
      <c r="D126" s="11" t="s">
        <v>69</v>
      </c>
      <c r="E126" s="11" t="s">
        <v>82</v>
      </c>
      <c r="F126" s="11" t="s">
        <v>119</v>
      </c>
    </row>
    <row r="127" spans="1:6" x14ac:dyDescent="0.3">
      <c r="A127" s="11" t="s">
        <v>72</v>
      </c>
      <c r="B127" s="9" t="s">
        <v>2</v>
      </c>
      <c r="C127" s="11" t="s">
        <v>73</v>
      </c>
      <c r="D127" s="11" t="s">
        <v>12</v>
      </c>
      <c r="E127" s="9" t="s">
        <v>77</v>
      </c>
      <c r="F127" s="9" t="s">
        <v>29</v>
      </c>
    </row>
    <row r="128" spans="1:6" x14ac:dyDescent="0.3">
      <c r="A128" s="9" t="s">
        <v>142</v>
      </c>
      <c r="B128" s="12" t="s">
        <v>81</v>
      </c>
      <c r="C128" s="9" t="s">
        <v>75</v>
      </c>
      <c r="D128" s="12" t="s">
        <v>69</v>
      </c>
      <c r="E128" s="10" t="s">
        <v>143</v>
      </c>
      <c r="F128" s="11" t="s">
        <v>208</v>
      </c>
    </row>
    <row r="129" spans="1:6" x14ac:dyDescent="0.3">
      <c r="A129" s="12" t="s">
        <v>187</v>
      </c>
      <c r="B129" s="12" t="s">
        <v>81</v>
      </c>
      <c r="C129" s="12" t="s">
        <v>6</v>
      </c>
      <c r="D129" s="12" t="s">
        <v>69</v>
      </c>
      <c r="E129" s="11" t="s">
        <v>131</v>
      </c>
      <c r="F129" s="11" t="s">
        <v>151</v>
      </c>
    </row>
    <row r="130" spans="1:6" x14ac:dyDescent="0.3">
      <c r="A130" s="9" t="s">
        <v>150</v>
      </c>
      <c r="B130" s="12" t="s">
        <v>81</v>
      </c>
      <c r="C130" s="9" t="s">
        <v>75</v>
      </c>
      <c r="D130" s="9" t="s">
        <v>69</v>
      </c>
      <c r="E130" s="11" t="s">
        <v>147</v>
      </c>
      <c r="F130" s="11" t="s">
        <v>151</v>
      </c>
    </row>
    <row r="131" spans="1:6" x14ac:dyDescent="0.3">
      <c r="A131" s="12" t="s">
        <v>104</v>
      </c>
      <c r="B131" s="12" t="s">
        <v>81</v>
      </c>
      <c r="C131" s="12" t="s">
        <v>73</v>
      </c>
      <c r="D131" s="12" t="s">
        <v>62</v>
      </c>
      <c r="E131" s="11" t="s">
        <v>92</v>
      </c>
      <c r="F131" s="11" t="s">
        <v>24</v>
      </c>
    </row>
    <row r="132" spans="1:6" x14ac:dyDescent="0.3">
      <c r="A132" s="13" t="s">
        <v>183</v>
      </c>
      <c r="B132" s="12" t="s">
        <v>81</v>
      </c>
      <c r="C132" s="12" t="s">
        <v>75</v>
      </c>
      <c r="D132" s="12" t="s">
        <v>69</v>
      </c>
      <c r="E132" s="9" t="s">
        <v>180</v>
      </c>
      <c r="F132" s="9" t="s">
        <v>184</v>
      </c>
    </row>
    <row r="133" spans="1:6" x14ac:dyDescent="0.3">
      <c r="A133" s="12" t="s">
        <v>179</v>
      </c>
      <c r="B133" s="12" t="s">
        <v>81</v>
      </c>
      <c r="C133" s="12" t="s">
        <v>73</v>
      </c>
      <c r="D133" s="12" t="s">
        <v>69</v>
      </c>
      <c r="E133" s="9" t="s">
        <v>180</v>
      </c>
      <c r="F133" s="9" t="s">
        <v>156</v>
      </c>
    </row>
    <row r="134" spans="1:6" x14ac:dyDescent="0.3">
      <c r="A134" s="12" t="s">
        <v>96</v>
      </c>
      <c r="B134" s="12" t="s">
        <v>81</v>
      </c>
      <c r="C134" s="12" t="s">
        <v>75</v>
      </c>
      <c r="D134" s="12" t="s">
        <v>69</v>
      </c>
      <c r="E134" s="11" t="s">
        <v>100</v>
      </c>
      <c r="F134" s="11" t="s">
        <v>97</v>
      </c>
    </row>
    <row r="135" spans="1:6" x14ac:dyDescent="0.3">
      <c r="A135" s="9" t="s">
        <v>617</v>
      </c>
      <c r="B135" s="9" t="s">
        <v>603</v>
      </c>
      <c r="C135" s="9" t="s">
        <v>616</v>
      </c>
      <c r="D135" s="9" t="s">
        <v>719</v>
      </c>
      <c r="E135" s="9" t="s">
        <v>539</v>
      </c>
      <c r="F135" s="9" t="s">
        <v>731</v>
      </c>
    </row>
    <row r="136" spans="1:6" x14ac:dyDescent="0.3">
      <c r="A136" s="9" t="s">
        <v>582</v>
      </c>
      <c r="B136" s="9" t="s">
        <v>709</v>
      </c>
      <c r="C136" s="9" t="s">
        <v>710</v>
      </c>
      <c r="D136" s="9" t="s">
        <v>12</v>
      </c>
      <c r="E136" s="9" t="s">
        <v>491</v>
      </c>
      <c r="F136" s="9" t="s">
        <v>555</v>
      </c>
    </row>
    <row r="137" spans="1:6" x14ac:dyDescent="0.3">
      <c r="A137" s="9" t="s">
        <v>631</v>
      </c>
      <c r="B137" s="9" t="s">
        <v>603</v>
      </c>
      <c r="C137" s="9" t="s">
        <v>61</v>
      </c>
      <c r="D137" s="9" t="s">
        <v>604</v>
      </c>
      <c r="E137" s="11" t="s">
        <v>486</v>
      </c>
      <c r="F137" s="9" t="s">
        <v>722</v>
      </c>
    </row>
    <row r="138" spans="1:6" x14ac:dyDescent="0.3">
      <c r="A138" s="9" t="s">
        <v>656</v>
      </c>
      <c r="B138" s="9" t="s">
        <v>603</v>
      </c>
      <c r="C138" s="9" t="s">
        <v>61</v>
      </c>
      <c r="D138" s="9" t="s">
        <v>604</v>
      </c>
      <c r="E138" s="9" t="s">
        <v>657</v>
      </c>
      <c r="F138" s="9" t="s">
        <v>658</v>
      </c>
    </row>
    <row r="139" spans="1:6" x14ac:dyDescent="0.3">
      <c r="A139" s="9" t="s">
        <v>672</v>
      </c>
      <c r="B139" s="9" t="s">
        <v>581</v>
      </c>
      <c r="C139" s="9" t="s">
        <v>616</v>
      </c>
      <c r="D139" s="9" t="s">
        <v>604</v>
      </c>
      <c r="E139" s="9" t="s">
        <v>669</v>
      </c>
      <c r="F139" s="9" t="s">
        <v>673</v>
      </c>
    </row>
    <row r="140" spans="1:6" x14ac:dyDescent="0.3">
      <c r="A140" s="9" t="s">
        <v>439</v>
      </c>
      <c r="B140" s="9" t="s">
        <v>603</v>
      </c>
      <c r="C140" s="9" t="s">
        <v>616</v>
      </c>
      <c r="D140" s="9" t="s">
        <v>604</v>
      </c>
      <c r="E140" s="9" t="s">
        <v>452</v>
      </c>
      <c r="F140" s="9" t="s">
        <v>747</v>
      </c>
    </row>
    <row r="141" spans="1:6" x14ac:dyDescent="0.3">
      <c r="A141" s="9" t="s">
        <v>621</v>
      </c>
      <c r="B141" s="9" t="s">
        <v>603</v>
      </c>
      <c r="C141" s="9" t="s">
        <v>61</v>
      </c>
      <c r="D141" s="9" t="s">
        <v>604</v>
      </c>
      <c r="E141" s="9" t="s">
        <v>681</v>
      </c>
      <c r="F141" s="9" t="s">
        <v>628</v>
      </c>
    </row>
    <row r="142" spans="1:6" x14ac:dyDescent="0.3">
      <c r="A142" s="9" t="s">
        <v>696</v>
      </c>
      <c r="B142" s="9" t="s">
        <v>603</v>
      </c>
      <c r="C142" s="9" t="s">
        <v>61</v>
      </c>
      <c r="D142" s="9" t="s">
        <v>604</v>
      </c>
      <c r="E142" s="9" t="s">
        <v>697</v>
      </c>
      <c r="F142" s="9" t="s">
        <v>13</v>
      </c>
    </row>
    <row r="143" spans="1:6" x14ac:dyDescent="0.3">
      <c r="A143" s="9" t="s">
        <v>717</v>
      </c>
      <c r="B143" s="9" t="s">
        <v>709</v>
      </c>
      <c r="C143" s="9" t="s">
        <v>3</v>
      </c>
      <c r="D143" s="9" t="s">
        <v>711</v>
      </c>
      <c r="E143" s="9" t="s">
        <v>600</v>
      </c>
      <c r="F143" s="9" t="s">
        <v>601</v>
      </c>
    </row>
    <row r="144" spans="1:6" x14ac:dyDescent="0.3">
      <c r="A144" s="9" t="s">
        <v>584</v>
      </c>
      <c r="B144" s="9" t="s">
        <v>581</v>
      </c>
      <c r="C144" s="9" t="s">
        <v>596</v>
      </c>
      <c r="D144" s="9" t="s">
        <v>599</v>
      </c>
      <c r="E144" s="9" t="s">
        <v>449</v>
      </c>
      <c r="F144" s="9" t="s">
        <v>493</v>
      </c>
    </row>
    <row r="145" spans="1:6" x14ac:dyDescent="0.3">
      <c r="A145" s="9" t="s">
        <v>610</v>
      </c>
      <c r="B145" s="9" t="s">
        <v>603</v>
      </c>
      <c r="C145" s="9" t="s">
        <v>596</v>
      </c>
      <c r="D145" s="9" t="s">
        <v>4</v>
      </c>
      <c r="E145" s="9" t="s">
        <v>456</v>
      </c>
      <c r="F145" s="9" t="s">
        <v>492</v>
      </c>
    </row>
    <row r="146" spans="1:6" x14ac:dyDescent="0.3">
      <c r="A146" s="9" t="s">
        <v>583</v>
      </c>
      <c r="B146" s="9" t="s">
        <v>603</v>
      </c>
      <c r="C146" s="9" t="s">
        <v>3</v>
      </c>
      <c r="D146" s="9" t="s">
        <v>599</v>
      </c>
      <c r="E146" s="9" t="s">
        <v>446</v>
      </c>
      <c r="F146" s="9" t="s">
        <v>489</v>
      </c>
    </row>
    <row r="147" spans="1:6" x14ac:dyDescent="0.3">
      <c r="A147" s="9" t="s">
        <v>613</v>
      </c>
      <c r="B147" s="9" t="s">
        <v>603</v>
      </c>
      <c r="C147" s="9" t="s">
        <v>3</v>
      </c>
      <c r="D147" s="9" t="s">
        <v>4</v>
      </c>
      <c r="E147" s="9" t="s">
        <v>614</v>
      </c>
      <c r="F147" s="9" t="s">
        <v>615</v>
      </c>
    </row>
    <row r="148" spans="1:6" x14ac:dyDescent="0.3">
      <c r="A148" s="9" t="s">
        <v>620</v>
      </c>
      <c r="B148" s="9" t="s">
        <v>720</v>
      </c>
      <c r="C148" s="9" t="s">
        <v>3</v>
      </c>
      <c r="D148" s="9" t="s">
        <v>4</v>
      </c>
      <c r="E148" s="9" t="s">
        <v>539</v>
      </c>
      <c r="F148" s="9" t="s">
        <v>730</v>
      </c>
    </row>
    <row r="149" spans="1:6" x14ac:dyDescent="0.3">
      <c r="A149" s="9" t="s">
        <v>618</v>
      </c>
      <c r="B149" s="9" t="s">
        <v>718</v>
      </c>
      <c r="C149" s="9" t="s">
        <v>714</v>
      </c>
      <c r="D149" s="9" t="s">
        <v>599</v>
      </c>
      <c r="E149" s="9" t="s">
        <v>539</v>
      </c>
      <c r="F149" s="9" t="s">
        <v>619</v>
      </c>
    </row>
    <row r="150" spans="1:6" x14ac:dyDescent="0.3">
      <c r="A150" s="9" t="s">
        <v>721</v>
      </c>
      <c r="B150" s="9" t="s">
        <v>581</v>
      </c>
      <c r="C150" s="9" t="s">
        <v>596</v>
      </c>
      <c r="D150" s="9" t="s">
        <v>4</v>
      </c>
      <c r="E150" s="11" t="s">
        <v>486</v>
      </c>
      <c r="F150" s="9" t="s">
        <v>629</v>
      </c>
    </row>
    <row r="151" spans="1:6" x14ac:dyDescent="0.3">
      <c r="A151" s="9" t="s">
        <v>630</v>
      </c>
      <c r="B151" s="9" t="s">
        <v>603</v>
      </c>
      <c r="C151" s="9" t="s">
        <v>596</v>
      </c>
      <c r="D151" s="9" t="s">
        <v>599</v>
      </c>
      <c r="E151" s="11" t="s">
        <v>486</v>
      </c>
      <c r="F151" s="9" t="s">
        <v>468</v>
      </c>
    </row>
    <row r="152" spans="1:6" x14ac:dyDescent="0.3">
      <c r="A152" s="9" t="s">
        <v>632</v>
      </c>
      <c r="B152" s="9" t="s">
        <v>718</v>
      </c>
      <c r="C152" s="9" t="s">
        <v>596</v>
      </c>
      <c r="D152" s="9" t="s">
        <v>4</v>
      </c>
      <c r="E152" s="11" t="s">
        <v>486</v>
      </c>
      <c r="F152" s="9" t="s">
        <v>489</v>
      </c>
    </row>
    <row r="153" spans="1:6" x14ac:dyDescent="0.3">
      <c r="A153" s="9" t="s">
        <v>639</v>
      </c>
      <c r="B153" s="9" t="s">
        <v>603</v>
      </c>
      <c r="C153" s="9" t="s">
        <v>716</v>
      </c>
      <c r="D153" s="9" t="s">
        <v>599</v>
      </c>
      <c r="E153" s="9" t="s">
        <v>638</v>
      </c>
      <c r="F153" s="9" t="s">
        <v>723</v>
      </c>
    </row>
    <row r="154" spans="1:6" x14ac:dyDescent="0.3">
      <c r="A154" s="9" t="s">
        <v>637</v>
      </c>
      <c r="B154" s="9" t="s">
        <v>603</v>
      </c>
      <c r="C154" s="9" t="s">
        <v>596</v>
      </c>
      <c r="D154" s="9" t="s">
        <v>4</v>
      </c>
      <c r="E154" s="9" t="s">
        <v>638</v>
      </c>
      <c r="F154" s="9" t="s">
        <v>185</v>
      </c>
    </row>
    <row r="155" spans="1:6" x14ac:dyDescent="0.3">
      <c r="A155" s="9" t="s">
        <v>640</v>
      </c>
      <c r="B155" s="9" t="s">
        <v>709</v>
      </c>
      <c r="C155" s="9" t="s">
        <v>596</v>
      </c>
      <c r="D155" s="9" t="s">
        <v>599</v>
      </c>
      <c r="E155" s="9" t="s">
        <v>634</v>
      </c>
      <c r="F155" s="9" t="s">
        <v>641</v>
      </c>
    </row>
    <row r="156" spans="1:6" x14ac:dyDescent="0.3">
      <c r="A156" s="9" t="s">
        <v>642</v>
      </c>
      <c r="B156" s="9" t="s">
        <v>709</v>
      </c>
      <c r="C156" s="9" t="s">
        <v>3</v>
      </c>
      <c r="D156" s="9" t="s">
        <v>599</v>
      </c>
      <c r="E156" s="9" t="s">
        <v>634</v>
      </c>
      <c r="F156" s="9" t="s">
        <v>641</v>
      </c>
    </row>
    <row r="157" spans="1:6" x14ac:dyDescent="0.3">
      <c r="A157" s="9" t="s">
        <v>636</v>
      </c>
      <c r="B157" s="9" t="s">
        <v>713</v>
      </c>
      <c r="C157" s="9" t="s">
        <v>3</v>
      </c>
      <c r="D157" s="9" t="s">
        <v>599</v>
      </c>
      <c r="E157" s="9" t="s">
        <v>634</v>
      </c>
      <c r="F157" s="9" t="s">
        <v>507</v>
      </c>
    </row>
    <row r="158" spans="1:6" x14ac:dyDescent="0.3">
      <c r="A158" s="9" t="s">
        <v>643</v>
      </c>
      <c r="B158" s="9" t="s">
        <v>709</v>
      </c>
      <c r="C158" s="9" t="s">
        <v>3</v>
      </c>
      <c r="D158" s="9" t="s">
        <v>599</v>
      </c>
      <c r="E158" s="9" t="s">
        <v>18</v>
      </c>
      <c r="F158" s="9" t="s">
        <v>625</v>
      </c>
    </row>
    <row r="159" spans="1:6" x14ac:dyDescent="0.3">
      <c r="A159" s="9" t="s">
        <v>648</v>
      </c>
      <c r="B159" s="9" t="s">
        <v>603</v>
      </c>
      <c r="C159" s="9" t="s">
        <v>3</v>
      </c>
      <c r="D159" s="9" t="s">
        <v>599</v>
      </c>
      <c r="E159" s="9" t="s">
        <v>647</v>
      </c>
      <c r="F159" s="9" t="s">
        <v>649</v>
      </c>
    </row>
    <row r="160" spans="1:6" x14ac:dyDescent="0.3">
      <c r="A160" s="9" t="s">
        <v>650</v>
      </c>
      <c r="B160" s="9" t="s">
        <v>603</v>
      </c>
      <c r="C160" s="9" t="s">
        <v>3</v>
      </c>
      <c r="D160" s="9" t="s">
        <v>4</v>
      </c>
      <c r="E160" s="9" t="s">
        <v>651</v>
      </c>
      <c r="F160" s="9" t="s">
        <v>652</v>
      </c>
    </row>
    <row r="161" spans="1:6" x14ac:dyDescent="0.3">
      <c r="A161" s="9" t="s">
        <v>724</v>
      </c>
      <c r="B161" s="9" t="s">
        <v>603</v>
      </c>
      <c r="C161" s="9" t="s">
        <v>3</v>
      </c>
      <c r="D161" s="9" t="s">
        <v>4</v>
      </c>
      <c r="E161" s="9" t="s">
        <v>659</v>
      </c>
      <c r="F161" s="9" t="s">
        <v>660</v>
      </c>
    </row>
    <row r="162" spans="1:6" x14ac:dyDescent="0.3">
      <c r="A162" s="9" t="s">
        <v>655</v>
      </c>
      <c r="B162" s="9" t="s">
        <v>581</v>
      </c>
      <c r="C162" s="9" t="s">
        <v>596</v>
      </c>
      <c r="D162" s="9" t="s">
        <v>599</v>
      </c>
      <c r="E162" s="9" t="s">
        <v>661</v>
      </c>
      <c r="F162" s="9" t="s">
        <v>229</v>
      </c>
    </row>
    <row r="163" spans="1:6" x14ac:dyDescent="0.3">
      <c r="A163" s="9" t="s">
        <v>725</v>
      </c>
      <c r="B163" s="9" t="s">
        <v>581</v>
      </c>
      <c r="C163" s="9" t="s">
        <v>596</v>
      </c>
      <c r="D163" s="9" t="s">
        <v>4</v>
      </c>
      <c r="E163" s="9" t="s">
        <v>662</v>
      </c>
      <c r="F163" s="9" t="s">
        <v>663</v>
      </c>
    </row>
    <row r="164" spans="1:6" x14ac:dyDescent="0.3">
      <c r="A164" s="9" t="s">
        <v>667</v>
      </c>
      <c r="B164" s="9" t="s">
        <v>603</v>
      </c>
      <c r="C164" s="9" t="s">
        <v>596</v>
      </c>
      <c r="D164" s="9" t="s">
        <v>599</v>
      </c>
      <c r="E164" s="9" t="s">
        <v>520</v>
      </c>
      <c r="F164" s="9" t="s">
        <v>665</v>
      </c>
    </row>
    <row r="165" spans="1:6" x14ac:dyDescent="0.3">
      <c r="A165" s="9" t="s">
        <v>668</v>
      </c>
      <c r="B165" s="9" t="s">
        <v>603</v>
      </c>
      <c r="C165" s="9" t="s">
        <v>3</v>
      </c>
      <c r="D165" s="9" t="s">
        <v>599</v>
      </c>
      <c r="E165" s="9" t="s">
        <v>669</v>
      </c>
      <c r="F165" s="9" t="s">
        <v>670</v>
      </c>
    </row>
    <row r="166" spans="1:6" x14ac:dyDescent="0.3">
      <c r="A166" s="9" t="s">
        <v>666</v>
      </c>
      <c r="B166" s="9" t="s">
        <v>603</v>
      </c>
      <c r="C166" s="9" t="s">
        <v>596</v>
      </c>
      <c r="D166" s="9" t="s">
        <v>4</v>
      </c>
      <c r="E166" s="9" t="s">
        <v>473</v>
      </c>
      <c r="F166" s="9" t="s">
        <v>674</v>
      </c>
    </row>
    <row r="167" spans="1:6" x14ac:dyDescent="0.3">
      <c r="A167" s="9" t="s">
        <v>607</v>
      </c>
      <c r="B167" s="9" t="s">
        <v>603</v>
      </c>
      <c r="C167" s="9" t="s">
        <v>596</v>
      </c>
      <c r="D167" s="9" t="s">
        <v>599</v>
      </c>
      <c r="E167" s="9" t="s">
        <v>502</v>
      </c>
      <c r="F167" s="9" t="s">
        <v>675</v>
      </c>
    </row>
    <row r="168" spans="1:6" x14ac:dyDescent="0.3">
      <c r="A168" s="9" t="s">
        <v>682</v>
      </c>
      <c r="B168" s="9" t="s">
        <v>603</v>
      </c>
      <c r="C168" s="9" t="s">
        <v>596</v>
      </c>
      <c r="D168" s="9" t="s">
        <v>599</v>
      </c>
      <c r="E168" s="9" t="s">
        <v>452</v>
      </c>
      <c r="F168" s="9" t="s">
        <v>683</v>
      </c>
    </row>
    <row r="169" spans="1:6" x14ac:dyDescent="0.3">
      <c r="A169" s="9" t="s">
        <v>653</v>
      </c>
      <c r="B169" s="9" t="s">
        <v>603</v>
      </c>
      <c r="C169" s="9" t="s">
        <v>596</v>
      </c>
      <c r="D169" s="9" t="s">
        <v>599</v>
      </c>
      <c r="E169" s="9" t="s">
        <v>488</v>
      </c>
      <c r="F169" s="9" t="s">
        <v>517</v>
      </c>
    </row>
    <row r="170" spans="1:6" x14ac:dyDescent="0.3">
      <c r="A170" s="9" t="s">
        <v>684</v>
      </c>
      <c r="B170" s="9" t="s">
        <v>603</v>
      </c>
      <c r="C170" s="9" t="s">
        <v>3</v>
      </c>
      <c r="D170" s="9" t="s">
        <v>599</v>
      </c>
      <c r="E170" s="9" t="s">
        <v>453</v>
      </c>
      <c r="F170" s="9" t="s">
        <v>492</v>
      </c>
    </row>
    <row r="171" spans="1:6" x14ac:dyDescent="0.3">
      <c r="A171" s="9" t="s">
        <v>602</v>
      </c>
      <c r="B171" s="9" t="s">
        <v>603</v>
      </c>
      <c r="C171" s="9" t="s">
        <v>596</v>
      </c>
      <c r="D171" s="9" t="s">
        <v>599</v>
      </c>
      <c r="E171" s="9" t="s">
        <v>686</v>
      </c>
      <c r="F171" s="9" t="s">
        <v>629</v>
      </c>
    </row>
    <row r="172" spans="1:6" x14ac:dyDescent="0.3">
      <c r="A172" s="9" t="s">
        <v>606</v>
      </c>
      <c r="B172" s="9" t="s">
        <v>603</v>
      </c>
      <c r="C172" s="9" t="s">
        <v>3</v>
      </c>
      <c r="D172" s="9" t="s">
        <v>599</v>
      </c>
      <c r="E172" s="9" t="s">
        <v>467</v>
      </c>
      <c r="F172" s="9" t="s">
        <v>496</v>
      </c>
    </row>
    <row r="173" spans="1:6" x14ac:dyDescent="0.3">
      <c r="A173" s="9" t="s">
        <v>693</v>
      </c>
      <c r="B173" s="9" t="s">
        <v>603</v>
      </c>
      <c r="C173" s="9" t="s">
        <v>596</v>
      </c>
      <c r="D173" s="9" t="s">
        <v>599</v>
      </c>
      <c r="E173" s="9" t="s">
        <v>462</v>
      </c>
      <c r="F173" s="9" t="s">
        <v>694</v>
      </c>
    </row>
    <row r="174" spans="1:6" x14ac:dyDescent="0.3">
      <c r="A174" s="9" t="s">
        <v>654</v>
      </c>
      <c r="B174" s="9" t="s">
        <v>603</v>
      </c>
      <c r="C174" s="9" t="s">
        <v>596</v>
      </c>
      <c r="D174" s="9" t="s">
        <v>599</v>
      </c>
      <c r="E174" s="11" t="s">
        <v>175</v>
      </c>
      <c r="F174" s="9" t="s">
        <v>468</v>
      </c>
    </row>
    <row r="175" spans="1:6" x14ac:dyDescent="0.3">
      <c r="A175" s="9" t="s">
        <v>698</v>
      </c>
      <c r="B175" s="9" t="s">
        <v>603</v>
      </c>
      <c r="C175" s="9" t="s">
        <v>596</v>
      </c>
      <c r="D175" s="9" t="s">
        <v>599</v>
      </c>
      <c r="E175" s="11" t="s">
        <v>175</v>
      </c>
      <c r="F175" s="9" t="s">
        <v>468</v>
      </c>
    </row>
    <row r="176" spans="1:6" x14ac:dyDescent="0.3">
      <c r="A176" s="9" t="s">
        <v>704</v>
      </c>
      <c r="B176" s="9" t="s">
        <v>603</v>
      </c>
      <c r="C176" s="9" t="s">
        <v>596</v>
      </c>
      <c r="D176" s="9" t="s">
        <v>4</v>
      </c>
      <c r="E176" s="9" t="s">
        <v>574</v>
      </c>
      <c r="F176" s="9" t="s">
        <v>171</v>
      </c>
    </row>
    <row r="177" spans="1:6" x14ac:dyDescent="0.3">
      <c r="A177" s="9" t="s">
        <v>598</v>
      </c>
      <c r="B177" s="9" t="s">
        <v>603</v>
      </c>
      <c r="C177" s="9" t="s">
        <v>596</v>
      </c>
      <c r="D177" s="9" t="s">
        <v>599</v>
      </c>
      <c r="E177" s="9" t="s">
        <v>577</v>
      </c>
      <c r="F177" s="9" t="s">
        <v>705</v>
      </c>
    </row>
    <row r="178" spans="1:6" x14ac:dyDescent="0.3">
      <c r="A178" s="9" t="s">
        <v>580</v>
      </c>
      <c r="B178" s="9" t="s">
        <v>581</v>
      </c>
      <c r="C178" s="9" t="s">
        <v>708</v>
      </c>
      <c r="D178" s="9" t="s">
        <v>12</v>
      </c>
      <c r="E178" s="9" t="s">
        <v>491</v>
      </c>
      <c r="F178" s="11" t="s">
        <v>22</v>
      </c>
    </row>
    <row r="179" spans="1:6" x14ac:dyDescent="0.3">
      <c r="A179" s="9" t="s">
        <v>591</v>
      </c>
      <c r="B179" s="9" t="s">
        <v>581</v>
      </c>
      <c r="C179" s="9" t="s">
        <v>3</v>
      </c>
      <c r="D179" s="9" t="s">
        <v>715</v>
      </c>
      <c r="E179" s="9" t="s">
        <v>491</v>
      </c>
      <c r="F179" s="9" t="s">
        <v>592</v>
      </c>
    </row>
    <row r="180" spans="1:6" x14ac:dyDescent="0.3">
      <c r="A180" s="9" t="s">
        <v>612</v>
      </c>
      <c r="B180" s="9" t="s">
        <v>581</v>
      </c>
      <c r="C180" s="9" t="s">
        <v>596</v>
      </c>
      <c r="D180" s="9" t="s">
        <v>604</v>
      </c>
      <c r="E180" s="9" t="s">
        <v>456</v>
      </c>
      <c r="F180" s="9" t="s">
        <v>523</v>
      </c>
    </row>
    <row r="181" spans="1:6" x14ac:dyDescent="0.3">
      <c r="A181" s="9" t="s">
        <v>608</v>
      </c>
      <c r="B181" s="9" t="s">
        <v>713</v>
      </c>
      <c r="C181" s="9" t="s">
        <v>3</v>
      </c>
      <c r="D181" s="9" t="s">
        <v>12</v>
      </c>
      <c r="E181" s="9" t="s">
        <v>456</v>
      </c>
      <c r="F181" s="9" t="s">
        <v>609</v>
      </c>
    </row>
    <row r="182" spans="1:6" x14ac:dyDescent="0.3">
      <c r="A182" s="9" t="s">
        <v>595</v>
      </c>
      <c r="B182" s="9" t="s">
        <v>603</v>
      </c>
      <c r="C182" s="9" t="s">
        <v>596</v>
      </c>
      <c r="D182" s="9" t="s">
        <v>712</v>
      </c>
      <c r="E182" s="9" t="s">
        <v>451</v>
      </c>
      <c r="F182" s="9" t="s">
        <v>732</v>
      </c>
    </row>
    <row r="183" spans="1:6" x14ac:dyDescent="0.3">
      <c r="A183" s="9" t="s">
        <v>622</v>
      </c>
      <c r="B183" s="9" t="s">
        <v>603</v>
      </c>
      <c r="C183" s="9" t="s">
        <v>596</v>
      </c>
      <c r="D183" s="9" t="s">
        <v>712</v>
      </c>
      <c r="E183" s="9" t="s">
        <v>451</v>
      </c>
      <c r="F183" s="9" t="s">
        <v>741</v>
      </c>
    </row>
    <row r="184" spans="1:6" x14ac:dyDescent="0.3">
      <c r="A184" s="9" t="s">
        <v>623</v>
      </c>
      <c r="B184" s="9" t="s">
        <v>581</v>
      </c>
      <c r="C184" s="9" t="s">
        <v>596</v>
      </c>
      <c r="D184" s="9" t="s">
        <v>604</v>
      </c>
      <c r="E184" s="9" t="s">
        <v>451</v>
      </c>
      <c r="F184" s="9" t="s">
        <v>624</v>
      </c>
    </row>
    <row r="185" spans="1:6" x14ac:dyDescent="0.3">
      <c r="A185" s="9" t="s">
        <v>597</v>
      </c>
      <c r="B185" s="9" t="s">
        <v>581</v>
      </c>
      <c r="C185" s="9" t="s">
        <v>3</v>
      </c>
      <c r="D185" s="9" t="s">
        <v>604</v>
      </c>
      <c r="E185" s="9" t="s">
        <v>553</v>
      </c>
      <c r="F185" s="9" t="s">
        <v>627</v>
      </c>
    </row>
    <row r="186" spans="1:6" x14ac:dyDescent="0.3">
      <c r="A186" s="9" t="s">
        <v>633</v>
      </c>
      <c r="B186" s="9" t="s">
        <v>581</v>
      </c>
      <c r="C186" s="9" t="s">
        <v>596</v>
      </c>
      <c r="D186" s="9" t="s">
        <v>12</v>
      </c>
      <c r="E186" s="9" t="s">
        <v>634</v>
      </c>
      <c r="F186" s="9" t="s">
        <v>635</v>
      </c>
    </row>
    <row r="187" spans="1:6" x14ac:dyDescent="0.3">
      <c r="A187" s="9" t="s">
        <v>645</v>
      </c>
      <c r="B187" s="9" t="s">
        <v>603</v>
      </c>
      <c r="C187" s="9" t="s">
        <v>714</v>
      </c>
      <c r="D187" s="9" t="s">
        <v>604</v>
      </c>
      <c r="E187" s="9" t="s">
        <v>470</v>
      </c>
      <c r="F187" s="9" t="s">
        <v>646</v>
      </c>
    </row>
    <row r="188" spans="1:6" x14ac:dyDescent="0.3">
      <c r="A188" s="9" t="s">
        <v>587</v>
      </c>
      <c r="B188" s="9" t="s">
        <v>603</v>
      </c>
      <c r="C188" s="9" t="s">
        <v>596</v>
      </c>
      <c r="D188" s="9" t="s">
        <v>604</v>
      </c>
      <c r="E188" s="9" t="s">
        <v>470</v>
      </c>
      <c r="F188" s="9" t="s">
        <v>644</v>
      </c>
    </row>
    <row r="189" spans="1:6" x14ac:dyDescent="0.3">
      <c r="A189" s="9" t="s">
        <v>664</v>
      </c>
      <c r="B189" s="9" t="s">
        <v>603</v>
      </c>
      <c r="C189" s="9" t="s">
        <v>716</v>
      </c>
      <c r="D189" s="9" t="s">
        <v>604</v>
      </c>
      <c r="E189" s="9" t="s">
        <v>442</v>
      </c>
      <c r="F189" s="9" t="s">
        <v>735</v>
      </c>
    </row>
    <row r="190" spans="1:6" x14ac:dyDescent="0.3">
      <c r="A190" s="9" t="s">
        <v>590</v>
      </c>
      <c r="B190" s="9" t="s">
        <v>603</v>
      </c>
      <c r="C190" s="9" t="s">
        <v>596</v>
      </c>
      <c r="D190" s="9" t="s">
        <v>604</v>
      </c>
      <c r="E190" s="9" t="s">
        <v>465</v>
      </c>
      <c r="F190" s="9" t="s">
        <v>532</v>
      </c>
    </row>
    <row r="191" spans="1:6" x14ac:dyDescent="0.3">
      <c r="A191" s="9" t="s">
        <v>605</v>
      </c>
      <c r="B191" s="9" t="s">
        <v>603</v>
      </c>
      <c r="C191" s="9" t="s">
        <v>596</v>
      </c>
      <c r="D191" s="9" t="s">
        <v>12</v>
      </c>
      <c r="E191" s="9" t="s">
        <v>465</v>
      </c>
      <c r="F191" s="9" t="s">
        <v>500</v>
      </c>
    </row>
    <row r="192" spans="1:6" x14ac:dyDescent="0.3">
      <c r="A192" s="9" t="s">
        <v>671</v>
      </c>
      <c r="B192" s="9" t="s">
        <v>603</v>
      </c>
      <c r="C192" s="9" t="s">
        <v>596</v>
      </c>
      <c r="D192" s="9" t="s">
        <v>604</v>
      </c>
      <c r="E192" s="9" t="s">
        <v>669</v>
      </c>
      <c r="F192" s="9" t="s">
        <v>628</v>
      </c>
    </row>
    <row r="193" spans="1:6" x14ac:dyDescent="0.3">
      <c r="A193" s="9" t="s">
        <v>586</v>
      </c>
      <c r="B193" s="9" t="s">
        <v>581</v>
      </c>
      <c r="C193" s="9" t="s">
        <v>596</v>
      </c>
      <c r="D193" s="9" t="s">
        <v>604</v>
      </c>
      <c r="E193" s="9" t="s">
        <v>502</v>
      </c>
      <c r="F193" s="9" t="s">
        <v>676</v>
      </c>
    </row>
    <row r="194" spans="1:6" x14ac:dyDescent="0.3">
      <c r="A194" s="9" t="s">
        <v>678</v>
      </c>
      <c r="B194" s="9" t="s">
        <v>603</v>
      </c>
      <c r="C194" s="9" t="s">
        <v>596</v>
      </c>
      <c r="D194" s="9" t="s">
        <v>604</v>
      </c>
      <c r="E194" s="9" t="s">
        <v>677</v>
      </c>
      <c r="F194" s="9" t="s">
        <v>746</v>
      </c>
    </row>
    <row r="195" spans="1:6" x14ac:dyDescent="0.3">
      <c r="A195" s="9" t="s">
        <v>679</v>
      </c>
      <c r="B195" s="9" t="s">
        <v>603</v>
      </c>
      <c r="C195" s="9" t="s">
        <v>596</v>
      </c>
      <c r="D195" s="9" t="s">
        <v>604</v>
      </c>
      <c r="E195" s="9" t="s">
        <v>680</v>
      </c>
      <c r="F195" s="9" t="s">
        <v>726</v>
      </c>
    </row>
    <row r="196" spans="1:6" x14ac:dyDescent="0.3">
      <c r="A196" s="9" t="s">
        <v>611</v>
      </c>
      <c r="B196" s="9" t="s">
        <v>603</v>
      </c>
      <c r="C196" s="9" t="s">
        <v>3</v>
      </c>
      <c r="D196" s="9" t="s">
        <v>604</v>
      </c>
      <c r="E196" s="9" t="s">
        <v>467</v>
      </c>
      <c r="F196" s="9" t="s">
        <v>689</v>
      </c>
    </row>
    <row r="197" spans="1:6" x14ac:dyDescent="0.3">
      <c r="A197" s="9" t="s">
        <v>585</v>
      </c>
      <c r="B197" s="9" t="s">
        <v>603</v>
      </c>
      <c r="C197" s="9" t="s">
        <v>596</v>
      </c>
      <c r="D197" s="9" t="s">
        <v>604</v>
      </c>
      <c r="E197" s="9" t="s">
        <v>467</v>
      </c>
      <c r="F197" s="9" t="s">
        <v>687</v>
      </c>
    </row>
    <row r="198" spans="1:6" x14ac:dyDescent="0.3">
      <c r="A198" s="9" t="s">
        <v>594</v>
      </c>
      <c r="B198" s="9" t="s">
        <v>603</v>
      </c>
      <c r="C198" s="9" t="s">
        <v>3</v>
      </c>
      <c r="D198" s="9" t="s">
        <v>12</v>
      </c>
      <c r="E198" s="9" t="s">
        <v>467</v>
      </c>
      <c r="F198" s="9" t="s">
        <v>687</v>
      </c>
    </row>
    <row r="199" spans="1:6" x14ac:dyDescent="0.3">
      <c r="A199" s="9" t="s">
        <v>690</v>
      </c>
      <c r="B199" s="9" t="s">
        <v>603</v>
      </c>
      <c r="C199" s="9" t="s">
        <v>596</v>
      </c>
      <c r="D199" s="9" t="s">
        <v>604</v>
      </c>
      <c r="E199" s="9" t="s">
        <v>691</v>
      </c>
      <c r="F199" s="9" t="s">
        <v>692</v>
      </c>
    </row>
    <row r="200" spans="1:6" x14ac:dyDescent="0.3">
      <c r="A200" s="9" t="s">
        <v>695</v>
      </c>
      <c r="B200" s="9" t="s">
        <v>603</v>
      </c>
      <c r="C200" s="9" t="s">
        <v>596</v>
      </c>
      <c r="D200" s="9" t="s">
        <v>604</v>
      </c>
      <c r="E200" s="9" t="s">
        <v>462</v>
      </c>
      <c r="F200" s="9" t="s">
        <v>738</v>
      </c>
    </row>
    <row r="201" spans="1:6" x14ac:dyDescent="0.3">
      <c r="A201" s="9" t="s">
        <v>699</v>
      </c>
      <c r="B201" s="9" t="s">
        <v>603</v>
      </c>
      <c r="C201" s="9" t="s">
        <v>596</v>
      </c>
      <c r="D201" s="9" t="s">
        <v>604</v>
      </c>
      <c r="E201" s="9" t="s">
        <v>700</v>
      </c>
      <c r="F201" s="9" t="s">
        <v>701</v>
      </c>
    </row>
    <row r="202" spans="1:6" x14ac:dyDescent="0.3">
      <c r="A202" s="9" t="s">
        <v>703</v>
      </c>
      <c r="B202" s="9" t="s">
        <v>603</v>
      </c>
      <c r="C202" s="9" t="s">
        <v>596</v>
      </c>
      <c r="D202" s="9" t="s">
        <v>604</v>
      </c>
      <c r="E202" s="9" t="s">
        <v>560</v>
      </c>
      <c r="F202" s="9" t="s">
        <v>555</v>
      </c>
    </row>
    <row r="203" spans="1:6" x14ac:dyDescent="0.3">
      <c r="A203" s="9" t="s">
        <v>588</v>
      </c>
      <c r="B203" s="9" t="s">
        <v>603</v>
      </c>
      <c r="C203" s="9" t="s">
        <v>596</v>
      </c>
      <c r="D203" s="9" t="s">
        <v>604</v>
      </c>
      <c r="E203" s="9" t="s">
        <v>577</v>
      </c>
      <c r="F203" s="9" t="s">
        <v>589</v>
      </c>
    </row>
    <row r="204" spans="1:6" x14ac:dyDescent="0.3">
      <c r="A204" s="9" t="s">
        <v>685</v>
      </c>
      <c r="B204" s="9" t="s">
        <v>603</v>
      </c>
      <c r="C204" s="9" t="s">
        <v>596</v>
      </c>
      <c r="D204" s="9" t="s">
        <v>604</v>
      </c>
      <c r="E204" s="11" t="s">
        <v>21</v>
      </c>
      <c r="F204" s="9" t="s">
        <v>688</v>
      </c>
    </row>
    <row r="205" spans="1:6" x14ac:dyDescent="0.3">
      <c r="A205" s="9" t="s">
        <v>593</v>
      </c>
      <c r="B205" s="9" t="s">
        <v>603</v>
      </c>
      <c r="C205" s="9" t="s">
        <v>596</v>
      </c>
      <c r="D205" s="9" t="s">
        <v>604</v>
      </c>
      <c r="E205" s="11" t="s">
        <v>21</v>
      </c>
      <c r="F205" s="9" t="s">
        <v>555</v>
      </c>
    </row>
    <row r="206" spans="1:6" x14ac:dyDescent="0.3">
      <c r="A206" s="9" t="s">
        <v>706</v>
      </c>
      <c r="B206" s="9" t="s">
        <v>603</v>
      </c>
      <c r="C206" s="9" t="s">
        <v>3</v>
      </c>
      <c r="D206" s="9" t="s">
        <v>604</v>
      </c>
      <c r="E206" s="9" t="s">
        <v>707</v>
      </c>
      <c r="F206" s="9" t="s">
        <v>506</v>
      </c>
    </row>
    <row r="207" spans="1:6" x14ac:dyDescent="0.3">
      <c r="A207" s="12" t="s">
        <v>490</v>
      </c>
      <c r="B207" s="12" t="s">
        <v>441</v>
      </c>
      <c r="C207" s="12" t="s">
        <v>9</v>
      </c>
      <c r="D207" s="12" t="s">
        <v>7</v>
      </c>
      <c r="E207" s="11" t="s">
        <v>491</v>
      </c>
      <c r="F207" s="11" t="s">
        <v>492</v>
      </c>
    </row>
    <row r="208" spans="1:6" x14ac:dyDescent="0.3">
      <c r="A208" s="9" t="s">
        <v>561</v>
      </c>
      <c r="B208" s="9" t="s">
        <v>441</v>
      </c>
      <c r="C208" s="9" t="s">
        <v>9</v>
      </c>
      <c r="D208" s="9" t="s">
        <v>7</v>
      </c>
      <c r="E208" s="10" t="s">
        <v>491</v>
      </c>
      <c r="F208" s="11" t="s">
        <v>492</v>
      </c>
    </row>
    <row r="209" spans="1:6" x14ac:dyDescent="0.3">
      <c r="A209" s="13" t="s">
        <v>546</v>
      </c>
      <c r="B209" s="12" t="s">
        <v>441</v>
      </c>
      <c r="C209" s="9" t="s">
        <v>9</v>
      </c>
      <c r="D209" s="9" t="s">
        <v>7</v>
      </c>
      <c r="E209" s="11" t="s">
        <v>494</v>
      </c>
      <c r="F209" s="11" t="s">
        <v>547</v>
      </c>
    </row>
    <row r="210" spans="1:6" x14ac:dyDescent="0.3">
      <c r="A210" s="12" t="s">
        <v>567</v>
      </c>
      <c r="B210" s="12" t="s">
        <v>441</v>
      </c>
      <c r="C210" s="12" t="s">
        <v>9</v>
      </c>
      <c r="D210" s="12" t="s">
        <v>7</v>
      </c>
      <c r="E210" s="11" t="s">
        <v>568</v>
      </c>
      <c r="F210" s="11" t="s">
        <v>569</v>
      </c>
    </row>
    <row r="211" spans="1:6" x14ac:dyDescent="0.3">
      <c r="A211" s="12" t="s">
        <v>548</v>
      </c>
      <c r="B211" s="12" t="s">
        <v>441</v>
      </c>
      <c r="C211" s="12" t="s">
        <v>9</v>
      </c>
      <c r="D211" s="12" t="s">
        <v>7</v>
      </c>
      <c r="E211" s="11" t="s">
        <v>449</v>
      </c>
      <c r="F211" s="11" t="s">
        <v>549</v>
      </c>
    </row>
    <row r="212" spans="1:6" x14ac:dyDescent="0.3">
      <c r="A212" s="12" t="s">
        <v>477</v>
      </c>
      <c r="B212" s="12" t="s">
        <v>441</v>
      </c>
      <c r="C212" s="12" t="s">
        <v>9</v>
      </c>
      <c r="D212" s="12" t="s">
        <v>7</v>
      </c>
      <c r="E212" s="11" t="s">
        <v>456</v>
      </c>
      <c r="F212" s="11" t="s">
        <v>478</v>
      </c>
    </row>
    <row r="213" spans="1:6" x14ac:dyDescent="0.3">
      <c r="A213" s="12" t="s">
        <v>479</v>
      </c>
      <c r="B213" s="12" t="s">
        <v>441</v>
      </c>
      <c r="C213" s="12" t="s">
        <v>9</v>
      </c>
      <c r="D213" s="12" t="s">
        <v>7</v>
      </c>
      <c r="E213" s="9" t="s">
        <v>456</v>
      </c>
      <c r="F213" s="9" t="s">
        <v>728</v>
      </c>
    </row>
    <row r="214" spans="1:6" x14ac:dyDescent="0.3">
      <c r="A214" s="9" t="s">
        <v>551</v>
      </c>
      <c r="B214" s="9" t="s">
        <v>441</v>
      </c>
      <c r="C214" s="9" t="s">
        <v>9</v>
      </c>
      <c r="D214" s="9" t="s">
        <v>7</v>
      </c>
      <c r="E214" s="11" t="s">
        <v>456</v>
      </c>
      <c r="F214" s="11" t="s">
        <v>285</v>
      </c>
    </row>
    <row r="215" spans="1:6" x14ac:dyDescent="0.3">
      <c r="A215" s="9" t="s">
        <v>529</v>
      </c>
      <c r="B215" s="9" t="s">
        <v>441</v>
      </c>
      <c r="C215" s="9" t="s">
        <v>9</v>
      </c>
      <c r="D215" s="9" t="s">
        <v>7</v>
      </c>
      <c r="E215" s="11" t="s">
        <v>486</v>
      </c>
      <c r="F215" s="11" t="s">
        <v>530</v>
      </c>
    </row>
    <row r="216" spans="1:6" x14ac:dyDescent="0.3">
      <c r="A216" s="12" t="s">
        <v>528</v>
      </c>
      <c r="B216" s="12" t="s">
        <v>441</v>
      </c>
      <c r="C216" s="12" t="s">
        <v>9</v>
      </c>
      <c r="D216" s="12" t="s">
        <v>7</v>
      </c>
      <c r="E216" s="11" t="s">
        <v>486</v>
      </c>
      <c r="F216" s="11" t="s">
        <v>472</v>
      </c>
    </row>
    <row r="217" spans="1:6" x14ac:dyDescent="0.3">
      <c r="A217" s="9" t="s">
        <v>534</v>
      </c>
      <c r="B217" s="9" t="s">
        <v>441</v>
      </c>
      <c r="C217" s="9" t="s">
        <v>9</v>
      </c>
      <c r="D217" s="9" t="s">
        <v>7</v>
      </c>
      <c r="E217" s="11" t="s">
        <v>18</v>
      </c>
      <c r="F217" s="10" t="s">
        <v>535</v>
      </c>
    </row>
    <row r="218" spans="1:6" x14ac:dyDescent="0.3">
      <c r="A218" s="13" t="s">
        <v>543</v>
      </c>
      <c r="B218" s="12" t="s">
        <v>441</v>
      </c>
      <c r="C218" s="9" t="s">
        <v>9</v>
      </c>
      <c r="D218" s="9" t="s">
        <v>7</v>
      </c>
      <c r="E218" s="11" t="s">
        <v>18</v>
      </c>
      <c r="F218" s="11" t="s">
        <v>482</v>
      </c>
    </row>
    <row r="219" spans="1:6" x14ac:dyDescent="0.3">
      <c r="A219" s="9" t="s">
        <v>483</v>
      </c>
      <c r="B219" s="9" t="s">
        <v>441</v>
      </c>
      <c r="C219" s="9" t="s">
        <v>9</v>
      </c>
      <c r="D219" s="9" t="s">
        <v>7</v>
      </c>
      <c r="E219" s="11" t="s">
        <v>444</v>
      </c>
      <c r="F219" s="11" t="s">
        <v>484</v>
      </c>
    </row>
    <row r="220" spans="1:6" x14ac:dyDescent="0.3">
      <c r="A220" s="12" t="s">
        <v>550</v>
      </c>
      <c r="B220" s="12" t="s">
        <v>441</v>
      </c>
      <c r="C220" s="12" t="s">
        <v>9</v>
      </c>
      <c r="D220" s="12" t="s">
        <v>7</v>
      </c>
      <c r="E220" s="11" t="s">
        <v>444</v>
      </c>
      <c r="F220" s="11" t="s">
        <v>496</v>
      </c>
    </row>
    <row r="221" spans="1:6" x14ac:dyDescent="0.3">
      <c r="A221" s="9" t="s">
        <v>536</v>
      </c>
      <c r="B221" s="9" t="s">
        <v>441</v>
      </c>
      <c r="C221" s="9" t="s">
        <v>9</v>
      </c>
      <c r="D221" s="9" t="s">
        <v>7</v>
      </c>
      <c r="E221" s="11" t="s">
        <v>442</v>
      </c>
      <c r="F221" s="11" t="s">
        <v>537</v>
      </c>
    </row>
    <row r="222" spans="1:6" x14ac:dyDescent="0.3">
      <c r="A222" s="12" t="s">
        <v>544</v>
      </c>
      <c r="B222" s="12" t="s">
        <v>441</v>
      </c>
      <c r="C222" s="12" t="s">
        <v>9</v>
      </c>
      <c r="D222" s="12" t="s">
        <v>7</v>
      </c>
      <c r="E222" s="11" t="s">
        <v>442</v>
      </c>
      <c r="F222" s="11" t="s">
        <v>545</v>
      </c>
    </row>
    <row r="223" spans="1:6" x14ac:dyDescent="0.3">
      <c r="A223" s="12" t="s">
        <v>497</v>
      </c>
      <c r="B223" s="12" t="s">
        <v>441</v>
      </c>
      <c r="C223" s="12" t="s">
        <v>9</v>
      </c>
      <c r="D223" s="12" t="s">
        <v>7</v>
      </c>
      <c r="E223" s="11" t="s">
        <v>465</v>
      </c>
      <c r="F223" s="11" t="s">
        <v>498</v>
      </c>
    </row>
    <row r="224" spans="1:6" x14ac:dyDescent="0.3">
      <c r="A224" s="9" t="s">
        <v>464</v>
      </c>
      <c r="B224" s="9" t="s">
        <v>441</v>
      </c>
      <c r="C224" s="9" t="s">
        <v>9</v>
      </c>
      <c r="D224" s="9" t="s">
        <v>7</v>
      </c>
      <c r="E224" s="11" t="s">
        <v>465</v>
      </c>
      <c r="F224" s="11" t="s">
        <v>466</v>
      </c>
    </row>
    <row r="225" spans="1:6" x14ac:dyDescent="0.3">
      <c r="A225" s="9" t="s">
        <v>524</v>
      </c>
      <c r="B225" s="9" t="s">
        <v>441</v>
      </c>
      <c r="C225" s="9" t="s">
        <v>9</v>
      </c>
      <c r="D225" s="9" t="s">
        <v>7</v>
      </c>
      <c r="E225" s="10" t="s">
        <v>520</v>
      </c>
      <c r="F225" s="10" t="s">
        <v>525</v>
      </c>
    </row>
    <row r="226" spans="1:6" x14ac:dyDescent="0.3">
      <c r="A226" s="9" t="s">
        <v>475</v>
      </c>
      <c r="B226" s="9" t="s">
        <v>441</v>
      </c>
      <c r="C226" s="9" t="s">
        <v>9</v>
      </c>
      <c r="D226" s="9" t="s">
        <v>7</v>
      </c>
      <c r="E226" s="11" t="s">
        <v>474</v>
      </c>
      <c r="F226" s="11" t="s">
        <v>476</v>
      </c>
    </row>
    <row r="227" spans="1:6" x14ac:dyDescent="0.3">
      <c r="A227" s="13" t="s">
        <v>495</v>
      </c>
      <c r="B227" s="12" t="s">
        <v>441</v>
      </c>
      <c r="C227" s="9" t="s">
        <v>9</v>
      </c>
      <c r="D227" s="9" t="s">
        <v>7</v>
      </c>
      <c r="E227" s="11" t="s">
        <v>467</v>
      </c>
      <c r="F227" s="11" t="s">
        <v>496</v>
      </c>
    </row>
    <row r="228" spans="1:6" x14ac:dyDescent="0.3">
      <c r="A228" s="12" t="s">
        <v>538</v>
      </c>
      <c r="B228" s="12" t="s">
        <v>441</v>
      </c>
      <c r="C228" s="12" t="s">
        <v>9</v>
      </c>
      <c r="D228" s="12" t="s">
        <v>7</v>
      </c>
      <c r="E228" s="11" t="s">
        <v>462</v>
      </c>
      <c r="F228" s="11" t="s">
        <v>283</v>
      </c>
    </row>
    <row r="229" spans="1:6" x14ac:dyDescent="0.3">
      <c r="A229" s="12" t="s">
        <v>570</v>
      </c>
      <c r="B229" s="12" t="s">
        <v>441</v>
      </c>
      <c r="C229" s="12" t="s">
        <v>9</v>
      </c>
      <c r="D229" s="12" t="s">
        <v>7</v>
      </c>
      <c r="E229" s="11" t="s">
        <v>638</v>
      </c>
      <c r="F229" s="11" t="s">
        <v>774</v>
      </c>
    </row>
    <row r="230" spans="1:6" x14ac:dyDescent="0.3">
      <c r="A230" s="9" t="s">
        <v>556</v>
      </c>
      <c r="B230" s="9" t="s">
        <v>441</v>
      </c>
      <c r="C230" s="9" t="s">
        <v>9</v>
      </c>
      <c r="D230" s="9" t="s">
        <v>243</v>
      </c>
      <c r="E230" s="11" t="s">
        <v>494</v>
      </c>
      <c r="F230" s="11" t="s">
        <v>557</v>
      </c>
    </row>
    <row r="231" spans="1:6" x14ac:dyDescent="0.3">
      <c r="A231" s="9" t="s">
        <v>531</v>
      </c>
      <c r="B231" s="9" t="s">
        <v>441</v>
      </c>
      <c r="C231" s="9" t="s">
        <v>9</v>
      </c>
      <c r="D231" s="9" t="s">
        <v>243</v>
      </c>
      <c r="E231" s="11" t="s">
        <v>449</v>
      </c>
      <c r="F231" s="11" t="s">
        <v>533</v>
      </c>
    </row>
    <row r="232" spans="1:6" x14ac:dyDescent="0.3">
      <c r="A232" s="12" t="s">
        <v>455</v>
      </c>
      <c r="B232" s="12" t="s">
        <v>441</v>
      </c>
      <c r="C232" s="12" t="s">
        <v>9</v>
      </c>
      <c r="D232" s="12" t="s">
        <v>243</v>
      </c>
      <c r="E232" s="11" t="s">
        <v>456</v>
      </c>
      <c r="F232" s="11" t="s">
        <v>457</v>
      </c>
    </row>
    <row r="233" spans="1:6" x14ac:dyDescent="0.3">
      <c r="A233" s="12" t="s">
        <v>499</v>
      </c>
      <c r="B233" s="12" t="s">
        <v>441</v>
      </c>
      <c r="C233" s="12" t="s">
        <v>9</v>
      </c>
      <c r="D233" s="12" t="s">
        <v>243</v>
      </c>
      <c r="E233" s="12" t="s">
        <v>456</v>
      </c>
      <c r="F233" s="11" t="s">
        <v>500</v>
      </c>
    </row>
    <row r="234" spans="1:6" x14ac:dyDescent="0.3">
      <c r="A234" s="9" t="s">
        <v>512</v>
      </c>
      <c r="B234" s="9" t="s">
        <v>441</v>
      </c>
      <c r="C234" s="9" t="s">
        <v>9</v>
      </c>
      <c r="D234" s="9" t="s">
        <v>243</v>
      </c>
      <c r="E234" s="11" t="s">
        <v>451</v>
      </c>
      <c r="F234" s="11" t="s">
        <v>740</v>
      </c>
    </row>
    <row r="235" spans="1:6" x14ac:dyDescent="0.3">
      <c r="A235" s="9" t="s">
        <v>438</v>
      </c>
      <c r="B235" s="9" t="s">
        <v>441</v>
      </c>
      <c r="C235" s="9" t="s">
        <v>9</v>
      </c>
      <c r="D235" s="9" t="s">
        <v>243</v>
      </c>
      <c r="E235" s="11" t="s">
        <v>553</v>
      </c>
      <c r="F235" s="9" t="s">
        <v>626</v>
      </c>
    </row>
    <row r="236" spans="1:6" x14ac:dyDescent="0.3">
      <c r="A236" s="9" t="s">
        <v>505</v>
      </c>
      <c r="B236" s="9" t="s">
        <v>441</v>
      </c>
      <c r="C236" s="9" t="s">
        <v>9</v>
      </c>
      <c r="D236" s="9" t="s">
        <v>243</v>
      </c>
      <c r="E236" s="11" t="s">
        <v>486</v>
      </c>
      <c r="F236" s="11" t="s">
        <v>506</v>
      </c>
    </row>
    <row r="237" spans="1:6" x14ac:dyDescent="0.3">
      <c r="A237" s="13" t="s">
        <v>510</v>
      </c>
      <c r="B237" s="12" t="s">
        <v>441</v>
      </c>
      <c r="C237" s="9" t="s">
        <v>9</v>
      </c>
      <c r="D237" s="9" t="s">
        <v>243</v>
      </c>
      <c r="E237" s="11" t="s">
        <v>459</v>
      </c>
      <c r="F237" s="11" t="s">
        <v>511</v>
      </c>
    </row>
    <row r="238" spans="1:6" x14ac:dyDescent="0.3">
      <c r="A238" s="9" t="s">
        <v>565</v>
      </c>
      <c r="B238" s="9" t="s">
        <v>441</v>
      </c>
      <c r="C238" s="9" t="s">
        <v>9</v>
      </c>
      <c r="D238" s="9" t="s">
        <v>243</v>
      </c>
      <c r="E238" s="11" t="s">
        <v>459</v>
      </c>
      <c r="F238" s="11" t="s">
        <v>559</v>
      </c>
    </row>
    <row r="239" spans="1:6" x14ac:dyDescent="0.3">
      <c r="A239" s="13" t="s">
        <v>541</v>
      </c>
      <c r="B239" s="12" t="s">
        <v>441</v>
      </c>
      <c r="C239" s="9" t="s">
        <v>9</v>
      </c>
      <c r="D239" s="9" t="s">
        <v>243</v>
      </c>
      <c r="E239" s="11" t="s">
        <v>444</v>
      </c>
      <c r="F239" s="11" t="s">
        <v>523</v>
      </c>
    </row>
    <row r="240" spans="1:6" x14ac:dyDescent="0.3">
      <c r="A240" s="12" t="s">
        <v>540</v>
      </c>
      <c r="B240" s="12" t="s">
        <v>441</v>
      </c>
      <c r="C240" s="12" t="s">
        <v>9</v>
      </c>
      <c r="D240" s="12" t="s">
        <v>243</v>
      </c>
      <c r="E240" s="11" t="s">
        <v>571</v>
      </c>
      <c r="F240" s="11" t="s">
        <v>572</v>
      </c>
    </row>
    <row r="241" spans="1:6" x14ac:dyDescent="0.3">
      <c r="A241" s="9" t="s">
        <v>503</v>
      </c>
      <c r="B241" s="9" t="s">
        <v>441</v>
      </c>
      <c r="C241" s="9" t="s">
        <v>9</v>
      </c>
      <c r="D241" s="9" t="s">
        <v>243</v>
      </c>
      <c r="E241" s="11" t="s">
        <v>473</v>
      </c>
      <c r="F241" s="11" t="s">
        <v>504</v>
      </c>
    </row>
    <row r="242" spans="1:6" x14ac:dyDescent="0.3">
      <c r="A242" s="9" t="s">
        <v>519</v>
      </c>
      <c r="B242" s="9" t="s">
        <v>441</v>
      </c>
      <c r="C242" s="9" t="s">
        <v>9</v>
      </c>
      <c r="D242" s="9" t="s">
        <v>243</v>
      </c>
      <c r="E242" s="10" t="s">
        <v>474</v>
      </c>
      <c r="F242" s="10" t="s">
        <v>521</v>
      </c>
    </row>
    <row r="243" spans="1:6" x14ac:dyDescent="0.3">
      <c r="A243" s="12" t="s">
        <v>558</v>
      </c>
      <c r="B243" s="12" t="s">
        <v>441</v>
      </c>
      <c r="C243" s="12" t="s">
        <v>9</v>
      </c>
      <c r="D243" s="12" t="s">
        <v>243</v>
      </c>
      <c r="E243" s="11" t="s">
        <v>453</v>
      </c>
      <c r="F243" s="11" t="s">
        <v>559</v>
      </c>
    </row>
    <row r="244" spans="1:6" x14ac:dyDescent="0.3">
      <c r="A244" s="12" t="s">
        <v>514</v>
      </c>
      <c r="B244" s="12" t="s">
        <v>441</v>
      </c>
      <c r="C244" s="12" t="s">
        <v>9</v>
      </c>
      <c r="D244" s="12" t="s">
        <v>243</v>
      </c>
      <c r="E244" s="11" t="s">
        <v>467</v>
      </c>
      <c r="F244" s="11" t="s">
        <v>515</v>
      </c>
    </row>
    <row r="245" spans="1:6" x14ac:dyDescent="0.3">
      <c r="A245" s="12" t="s">
        <v>513</v>
      </c>
      <c r="B245" s="12" t="s">
        <v>441</v>
      </c>
      <c r="C245" s="12" t="s">
        <v>9</v>
      </c>
      <c r="D245" s="12" t="s">
        <v>243</v>
      </c>
      <c r="E245" s="11" t="s">
        <v>467</v>
      </c>
      <c r="F245" s="11" t="s">
        <v>506</v>
      </c>
    </row>
    <row r="246" spans="1:6" x14ac:dyDescent="0.3">
      <c r="A246" s="12" t="s">
        <v>461</v>
      </c>
      <c r="B246" s="12" t="s">
        <v>441</v>
      </c>
      <c r="C246" s="12" t="s">
        <v>9</v>
      </c>
      <c r="D246" s="12" t="s">
        <v>243</v>
      </c>
      <c r="E246" s="11" t="s">
        <v>560</v>
      </c>
      <c r="F246" s="11" t="s">
        <v>463</v>
      </c>
    </row>
    <row r="247" spans="1:6" x14ac:dyDescent="0.3">
      <c r="A247" s="12" t="s">
        <v>554</v>
      </c>
      <c r="B247" s="12" t="s">
        <v>441</v>
      </c>
      <c r="C247" s="12" t="s">
        <v>9</v>
      </c>
      <c r="D247" s="12" t="s">
        <v>243</v>
      </c>
      <c r="E247" s="12" t="s">
        <v>454</v>
      </c>
      <c r="F247" s="11" t="s">
        <v>555</v>
      </c>
    </row>
    <row r="248" spans="1:6" x14ac:dyDescent="0.3">
      <c r="A248" s="12" t="s">
        <v>480</v>
      </c>
      <c r="B248" s="12" t="s">
        <v>441</v>
      </c>
      <c r="C248" s="12" t="s">
        <v>6</v>
      </c>
      <c r="D248" s="12" t="s">
        <v>7</v>
      </c>
      <c r="E248" s="11" t="s">
        <v>449</v>
      </c>
      <c r="F248" s="11" t="s">
        <v>481</v>
      </c>
    </row>
    <row r="249" spans="1:6" x14ac:dyDescent="0.3">
      <c r="A249" s="9" t="s">
        <v>485</v>
      </c>
      <c r="B249" s="9" t="s">
        <v>441</v>
      </c>
      <c r="C249" s="9" t="s">
        <v>6</v>
      </c>
      <c r="D249" s="9" t="s">
        <v>7</v>
      </c>
      <c r="E249" s="11" t="s">
        <v>486</v>
      </c>
      <c r="F249" s="11" t="s">
        <v>281</v>
      </c>
    </row>
    <row r="250" spans="1:6" x14ac:dyDescent="0.3">
      <c r="A250" s="12" t="s">
        <v>440</v>
      </c>
      <c r="B250" s="12" t="s">
        <v>441</v>
      </c>
      <c r="C250" s="12" t="s">
        <v>6</v>
      </c>
      <c r="D250" s="12" t="s">
        <v>7</v>
      </c>
      <c r="E250" s="11" t="s">
        <v>18</v>
      </c>
      <c r="F250" s="11" t="s">
        <v>443</v>
      </c>
    </row>
    <row r="251" spans="1:6" x14ac:dyDescent="0.3">
      <c r="A251" s="12" t="s">
        <v>501</v>
      </c>
      <c r="B251" s="12" t="s">
        <v>441</v>
      </c>
      <c r="C251" s="12" t="s">
        <v>6</v>
      </c>
      <c r="D251" s="12" t="s">
        <v>7</v>
      </c>
      <c r="E251" s="12" t="s">
        <v>470</v>
      </c>
      <c r="F251" s="11" t="s">
        <v>493</v>
      </c>
    </row>
    <row r="252" spans="1:6" x14ac:dyDescent="0.3">
      <c r="A252" s="12" t="s">
        <v>469</v>
      </c>
      <c r="B252" s="12" t="s">
        <v>441</v>
      </c>
      <c r="C252" s="12" t="s">
        <v>6</v>
      </c>
      <c r="D252" s="12" t="s">
        <v>7</v>
      </c>
      <c r="E252" s="11" t="s">
        <v>471</v>
      </c>
      <c r="F252" s="11" t="s">
        <v>472</v>
      </c>
    </row>
    <row r="253" spans="1:6" x14ac:dyDescent="0.3">
      <c r="A253" s="9" t="s">
        <v>508</v>
      </c>
      <c r="B253" s="9" t="s">
        <v>441</v>
      </c>
      <c r="C253" s="9" t="s">
        <v>6</v>
      </c>
      <c r="D253" s="9" t="s">
        <v>7</v>
      </c>
      <c r="E253" s="11" t="s">
        <v>488</v>
      </c>
      <c r="F253" s="11" t="s">
        <v>509</v>
      </c>
    </row>
    <row r="254" spans="1:6" x14ac:dyDescent="0.3">
      <c r="A254" s="9" t="s">
        <v>562</v>
      </c>
      <c r="B254" s="9" t="s">
        <v>441</v>
      </c>
      <c r="C254" s="9" t="s">
        <v>6</v>
      </c>
      <c r="D254" s="9" t="s">
        <v>7</v>
      </c>
      <c r="E254" s="11" t="s">
        <v>552</v>
      </c>
      <c r="F254" s="11" t="s">
        <v>563</v>
      </c>
    </row>
    <row r="255" spans="1:6" x14ac:dyDescent="0.3">
      <c r="A255" s="9" t="s">
        <v>522</v>
      </c>
      <c r="B255" s="9" t="s">
        <v>441</v>
      </c>
      <c r="C255" s="9" t="s">
        <v>6</v>
      </c>
      <c r="D255" s="9" t="s">
        <v>243</v>
      </c>
      <c r="E255" s="11" t="s">
        <v>449</v>
      </c>
      <c r="F255" s="11" t="s">
        <v>523</v>
      </c>
    </row>
    <row r="256" spans="1:6" x14ac:dyDescent="0.3">
      <c r="A256" s="13" t="s">
        <v>448</v>
      </c>
      <c r="B256" s="12" t="s">
        <v>441</v>
      </c>
      <c r="C256" s="9" t="s">
        <v>6</v>
      </c>
      <c r="D256" s="9" t="s">
        <v>243</v>
      </c>
      <c r="E256" s="11" t="s">
        <v>449</v>
      </c>
      <c r="F256" s="11" t="s">
        <v>450</v>
      </c>
    </row>
    <row r="257" spans="1:6" x14ac:dyDescent="0.3">
      <c r="A257" s="12" t="s">
        <v>445</v>
      </c>
      <c r="B257" s="12" t="s">
        <v>441</v>
      </c>
      <c r="C257" s="12" t="s">
        <v>6</v>
      </c>
      <c r="D257" s="12" t="s">
        <v>243</v>
      </c>
      <c r="E257" s="11" t="s">
        <v>446</v>
      </c>
      <c r="F257" s="11" t="s">
        <v>447</v>
      </c>
    </row>
    <row r="258" spans="1:6" x14ac:dyDescent="0.3">
      <c r="A258" s="9" t="s">
        <v>526</v>
      </c>
      <c r="B258" s="9" t="s">
        <v>441</v>
      </c>
      <c r="C258" s="9" t="s">
        <v>6</v>
      </c>
      <c r="D258" s="9" t="s">
        <v>243</v>
      </c>
      <c r="E258" s="11" t="s">
        <v>465</v>
      </c>
      <c r="F258" s="11" t="s">
        <v>527</v>
      </c>
    </row>
    <row r="259" spans="1:6" x14ac:dyDescent="0.3">
      <c r="A259" s="9" t="s">
        <v>516</v>
      </c>
      <c r="B259" s="9" t="s">
        <v>441</v>
      </c>
      <c r="C259" s="9" t="s">
        <v>6</v>
      </c>
      <c r="D259" s="9" t="s">
        <v>243</v>
      </c>
      <c r="E259" s="11" t="s">
        <v>465</v>
      </c>
      <c r="F259" s="11" t="s">
        <v>518</v>
      </c>
    </row>
    <row r="260" spans="1:6" x14ac:dyDescent="0.3">
      <c r="A260" s="12" t="s">
        <v>458</v>
      </c>
      <c r="B260" s="12" t="s">
        <v>441</v>
      </c>
      <c r="C260" s="12" t="s">
        <v>6</v>
      </c>
      <c r="D260" s="12" t="s">
        <v>243</v>
      </c>
      <c r="E260" s="11" t="s">
        <v>452</v>
      </c>
      <c r="F260" s="11" t="s">
        <v>460</v>
      </c>
    </row>
    <row r="261" spans="1:6" x14ac:dyDescent="0.3">
      <c r="A261" s="12" t="s">
        <v>566</v>
      </c>
      <c r="B261" s="12" t="s">
        <v>441</v>
      </c>
      <c r="C261" s="12" t="s">
        <v>6</v>
      </c>
      <c r="D261" s="12" t="s">
        <v>243</v>
      </c>
      <c r="E261" s="11" t="s">
        <v>452</v>
      </c>
      <c r="F261" s="10" t="s">
        <v>748</v>
      </c>
    </row>
    <row r="262" spans="1:6" x14ac:dyDescent="0.3">
      <c r="A262" s="9" t="s">
        <v>564</v>
      </c>
      <c r="B262" s="9" t="s">
        <v>441</v>
      </c>
      <c r="C262" s="9" t="s">
        <v>6</v>
      </c>
      <c r="D262" s="9" t="s">
        <v>243</v>
      </c>
      <c r="E262" s="11" t="s">
        <v>560</v>
      </c>
      <c r="F262" s="10" t="s">
        <v>752</v>
      </c>
    </row>
    <row r="263" spans="1:6" x14ac:dyDescent="0.3">
      <c r="A263" s="13" t="s">
        <v>437</v>
      </c>
      <c r="B263" s="12" t="s">
        <v>322</v>
      </c>
      <c r="C263" s="9" t="s">
        <v>68</v>
      </c>
      <c r="D263" s="9" t="s">
        <v>335</v>
      </c>
      <c r="E263" s="11" t="s">
        <v>89</v>
      </c>
      <c r="F263" s="11" t="s">
        <v>134</v>
      </c>
    </row>
    <row r="264" spans="1:6" x14ac:dyDescent="0.3">
      <c r="A264" s="13" t="s">
        <v>360</v>
      </c>
      <c r="B264" s="12" t="s">
        <v>314</v>
      </c>
      <c r="C264" s="9" t="s">
        <v>68</v>
      </c>
      <c r="D264" s="9" t="s">
        <v>335</v>
      </c>
      <c r="E264" s="11" t="s">
        <v>326</v>
      </c>
      <c r="F264" s="11" t="s">
        <v>361</v>
      </c>
    </row>
    <row r="265" spans="1:6" x14ac:dyDescent="0.3">
      <c r="A265" s="12" t="s">
        <v>378</v>
      </c>
      <c r="B265" s="12" t="s">
        <v>327</v>
      </c>
      <c r="C265" s="12" t="s">
        <v>337</v>
      </c>
      <c r="D265" s="12" t="s">
        <v>335</v>
      </c>
      <c r="E265" s="11" t="s">
        <v>94</v>
      </c>
      <c r="F265" s="11" t="s">
        <v>729</v>
      </c>
    </row>
    <row r="266" spans="1:6" x14ac:dyDescent="0.3">
      <c r="A266" s="12" t="s">
        <v>395</v>
      </c>
      <c r="B266" s="12" t="s">
        <v>327</v>
      </c>
      <c r="C266" s="12" t="s">
        <v>337</v>
      </c>
      <c r="D266" s="12" t="s">
        <v>335</v>
      </c>
      <c r="E266" s="10" t="s">
        <v>376</v>
      </c>
      <c r="F266" s="11" t="s">
        <v>396</v>
      </c>
    </row>
    <row r="267" spans="1:6" x14ac:dyDescent="0.3">
      <c r="A267" s="12" t="s">
        <v>386</v>
      </c>
      <c r="B267" s="12" t="s">
        <v>327</v>
      </c>
      <c r="C267" s="12" t="s">
        <v>337</v>
      </c>
      <c r="D267" s="12" t="s">
        <v>335</v>
      </c>
      <c r="E267" s="11" t="s">
        <v>145</v>
      </c>
      <c r="F267" s="11" t="s">
        <v>743</v>
      </c>
    </row>
    <row r="268" spans="1:6" x14ac:dyDescent="0.3">
      <c r="A268" s="12" t="s">
        <v>416</v>
      </c>
      <c r="B268" s="12" t="s">
        <v>322</v>
      </c>
      <c r="C268" s="12" t="s">
        <v>337</v>
      </c>
      <c r="D268" s="12" t="s">
        <v>335</v>
      </c>
      <c r="E268" s="11" t="s">
        <v>145</v>
      </c>
      <c r="F268" s="11" t="s">
        <v>281</v>
      </c>
    </row>
    <row r="269" spans="1:6" x14ac:dyDescent="0.3">
      <c r="A269" s="12" t="s">
        <v>408</v>
      </c>
      <c r="B269" s="12" t="s">
        <v>322</v>
      </c>
      <c r="C269" s="12" t="s">
        <v>337</v>
      </c>
      <c r="D269" s="12" t="s">
        <v>364</v>
      </c>
      <c r="E269" s="11" t="s">
        <v>131</v>
      </c>
      <c r="F269" s="11" t="s">
        <v>394</v>
      </c>
    </row>
    <row r="270" spans="1:6" x14ac:dyDescent="0.3">
      <c r="A270" s="13" t="s">
        <v>413</v>
      </c>
      <c r="B270" s="12" t="s">
        <v>322</v>
      </c>
      <c r="C270" s="9" t="s">
        <v>68</v>
      </c>
      <c r="D270" s="9" t="s">
        <v>335</v>
      </c>
      <c r="E270" s="11" t="s">
        <v>108</v>
      </c>
      <c r="F270" s="11" t="s">
        <v>134</v>
      </c>
    </row>
    <row r="271" spans="1:6" x14ac:dyDescent="0.3">
      <c r="A271" s="12" t="s">
        <v>433</v>
      </c>
      <c r="B271" s="12" t="s">
        <v>322</v>
      </c>
      <c r="C271" s="12" t="s">
        <v>68</v>
      </c>
      <c r="D271" s="12" t="s">
        <v>79</v>
      </c>
      <c r="E271" s="11" t="s">
        <v>380</v>
      </c>
      <c r="F271" s="11" t="s">
        <v>134</v>
      </c>
    </row>
    <row r="272" spans="1:6" x14ac:dyDescent="0.3">
      <c r="A272" s="12" t="s">
        <v>419</v>
      </c>
      <c r="B272" s="12" t="s">
        <v>314</v>
      </c>
      <c r="C272" s="12" t="s">
        <v>68</v>
      </c>
      <c r="D272" s="12" t="s">
        <v>335</v>
      </c>
      <c r="E272" s="11" t="s">
        <v>420</v>
      </c>
      <c r="F272" s="11"/>
    </row>
    <row r="273" spans="1:6" x14ac:dyDescent="0.3">
      <c r="A273" s="12" t="s">
        <v>415</v>
      </c>
      <c r="B273" s="12" t="s">
        <v>322</v>
      </c>
      <c r="C273" s="12" t="s">
        <v>68</v>
      </c>
      <c r="D273" s="12" t="s">
        <v>79</v>
      </c>
      <c r="E273" s="11" t="s">
        <v>125</v>
      </c>
      <c r="F273" s="11" t="s">
        <v>66</v>
      </c>
    </row>
    <row r="274" spans="1:6" x14ac:dyDescent="0.3">
      <c r="A274" s="12" t="s">
        <v>427</v>
      </c>
      <c r="B274" s="12" t="s">
        <v>322</v>
      </c>
      <c r="C274" s="12" t="s">
        <v>68</v>
      </c>
      <c r="D274" s="12" t="s">
        <v>79</v>
      </c>
      <c r="E274" s="11" t="s">
        <v>351</v>
      </c>
      <c r="F274" s="11" t="s">
        <v>38</v>
      </c>
    </row>
    <row r="275" spans="1:6" x14ac:dyDescent="0.3">
      <c r="A275" s="12" t="s">
        <v>421</v>
      </c>
      <c r="B275" s="12" t="s">
        <v>322</v>
      </c>
      <c r="C275" s="14" t="s">
        <v>332</v>
      </c>
      <c r="D275" s="14" t="s">
        <v>334</v>
      </c>
      <c r="E275" s="11" t="s">
        <v>122</v>
      </c>
      <c r="F275" s="11" t="s">
        <v>130</v>
      </c>
    </row>
    <row r="276" spans="1:6" x14ac:dyDescent="0.3">
      <c r="A276" s="12" t="s">
        <v>417</v>
      </c>
      <c r="B276" s="12" t="s">
        <v>327</v>
      </c>
      <c r="C276" s="12" t="s">
        <v>337</v>
      </c>
      <c r="D276" s="12" t="s">
        <v>335</v>
      </c>
      <c r="E276" s="11" t="s">
        <v>92</v>
      </c>
      <c r="F276" s="10" t="s">
        <v>737</v>
      </c>
    </row>
    <row r="277" spans="1:6" x14ac:dyDescent="0.3">
      <c r="A277" s="12" t="s">
        <v>365</v>
      </c>
      <c r="B277" s="12" t="s">
        <v>327</v>
      </c>
      <c r="C277" s="12" t="s">
        <v>337</v>
      </c>
      <c r="D277" s="12" t="s">
        <v>335</v>
      </c>
      <c r="E277" s="11" t="s">
        <v>366</v>
      </c>
      <c r="F277" s="9" t="s">
        <v>171</v>
      </c>
    </row>
    <row r="278" spans="1:6" x14ac:dyDescent="0.3">
      <c r="A278" s="13" t="s">
        <v>31</v>
      </c>
      <c r="B278" s="12" t="s">
        <v>327</v>
      </c>
      <c r="C278" s="9" t="s">
        <v>337</v>
      </c>
      <c r="D278" s="9" t="s">
        <v>335</v>
      </c>
      <c r="E278" s="11" t="s">
        <v>21</v>
      </c>
      <c r="F278" s="11" t="s">
        <v>333</v>
      </c>
    </row>
    <row r="279" spans="1:6" x14ac:dyDescent="0.3">
      <c r="A279" s="13" t="s">
        <v>39</v>
      </c>
      <c r="B279" s="12" t="s">
        <v>327</v>
      </c>
      <c r="C279" s="14" t="s">
        <v>332</v>
      </c>
      <c r="D279" s="14" t="s">
        <v>341</v>
      </c>
      <c r="E279" s="11" t="s">
        <v>153</v>
      </c>
      <c r="F279" s="11" t="s">
        <v>342</v>
      </c>
    </row>
    <row r="280" spans="1:6" x14ac:dyDescent="0.3">
      <c r="A280" s="12" t="s">
        <v>414</v>
      </c>
      <c r="B280" s="12" t="s">
        <v>327</v>
      </c>
      <c r="C280" s="14" t="s">
        <v>404</v>
      </c>
      <c r="D280" s="14" t="s">
        <v>341</v>
      </c>
      <c r="E280" s="11" t="s">
        <v>153</v>
      </c>
      <c r="F280" s="11" t="s">
        <v>97</v>
      </c>
    </row>
    <row r="281" spans="1:6" x14ac:dyDescent="0.3">
      <c r="A281" s="12" t="s">
        <v>418</v>
      </c>
      <c r="B281" s="12" t="s">
        <v>327</v>
      </c>
      <c r="C281" s="14" t="s">
        <v>404</v>
      </c>
      <c r="D281" s="14" t="s">
        <v>32</v>
      </c>
      <c r="E281" s="11" t="s">
        <v>153</v>
      </c>
      <c r="F281" s="11"/>
    </row>
    <row r="282" spans="1:6" x14ac:dyDescent="0.3">
      <c r="A282" s="13" t="s">
        <v>425</v>
      </c>
      <c r="B282" s="12" t="s">
        <v>322</v>
      </c>
      <c r="C282" s="9" t="s">
        <v>337</v>
      </c>
      <c r="D282" s="9" t="s">
        <v>69</v>
      </c>
      <c r="E282" s="11" t="s">
        <v>89</v>
      </c>
      <c r="F282" s="11" t="s">
        <v>426</v>
      </c>
    </row>
    <row r="283" spans="1:6" x14ac:dyDescent="0.3">
      <c r="A283" s="13" t="s">
        <v>367</v>
      </c>
      <c r="B283" s="12" t="s">
        <v>327</v>
      </c>
      <c r="C283" s="9" t="s">
        <v>337</v>
      </c>
      <c r="D283" s="9" t="s">
        <v>316</v>
      </c>
      <c r="E283" s="11" t="s">
        <v>369</v>
      </c>
      <c r="F283" s="11" t="s">
        <v>370</v>
      </c>
    </row>
    <row r="284" spans="1:6" x14ac:dyDescent="0.3">
      <c r="A284" s="12" t="s">
        <v>406</v>
      </c>
      <c r="B284" s="12" t="s">
        <v>322</v>
      </c>
      <c r="C284" s="12" t="s">
        <v>68</v>
      </c>
      <c r="D284" s="12" t="s">
        <v>69</v>
      </c>
      <c r="E284" s="11" t="s">
        <v>94</v>
      </c>
      <c r="F284" s="11" t="s">
        <v>407</v>
      </c>
    </row>
    <row r="285" spans="1:6" x14ac:dyDescent="0.3">
      <c r="A285" s="12" t="s">
        <v>381</v>
      </c>
      <c r="B285" s="12" t="s">
        <v>314</v>
      </c>
      <c r="C285" s="12" t="s">
        <v>337</v>
      </c>
      <c r="D285" s="12" t="s">
        <v>69</v>
      </c>
      <c r="E285" s="11" t="s">
        <v>382</v>
      </c>
      <c r="F285" s="11" t="s">
        <v>383</v>
      </c>
    </row>
    <row r="286" spans="1:6" x14ac:dyDescent="0.3">
      <c r="A286" s="12" t="s">
        <v>358</v>
      </c>
      <c r="B286" s="12" t="s">
        <v>327</v>
      </c>
      <c r="C286" s="12" t="s">
        <v>359</v>
      </c>
      <c r="D286" s="12" t="s">
        <v>316</v>
      </c>
      <c r="E286" s="11" t="s">
        <v>336</v>
      </c>
      <c r="F286" s="11" t="s">
        <v>734</v>
      </c>
    </row>
    <row r="287" spans="1:6" x14ac:dyDescent="0.3">
      <c r="A287" s="12" t="s">
        <v>389</v>
      </c>
      <c r="B287" s="12" t="s">
        <v>322</v>
      </c>
      <c r="C287" s="12" t="s">
        <v>68</v>
      </c>
      <c r="D287" s="12" t="s">
        <v>69</v>
      </c>
      <c r="E287" s="11" t="s">
        <v>390</v>
      </c>
      <c r="F287" s="11" t="s">
        <v>391</v>
      </c>
    </row>
    <row r="288" spans="1:6" x14ac:dyDescent="0.3">
      <c r="A288" s="12" t="s">
        <v>434</v>
      </c>
      <c r="B288" s="12" t="s">
        <v>322</v>
      </c>
      <c r="C288" s="12" t="s">
        <v>68</v>
      </c>
      <c r="D288" s="12" t="s">
        <v>69</v>
      </c>
      <c r="E288" s="11" t="s">
        <v>83</v>
      </c>
      <c r="F288" s="11" t="s">
        <v>90</v>
      </c>
    </row>
    <row r="289" spans="1:6" x14ac:dyDescent="0.3">
      <c r="A289" s="12" t="s">
        <v>379</v>
      </c>
      <c r="B289" s="12" t="s">
        <v>322</v>
      </c>
      <c r="C289" s="12" t="s">
        <v>68</v>
      </c>
      <c r="D289" s="12" t="s">
        <v>316</v>
      </c>
      <c r="E289" s="11" t="s">
        <v>380</v>
      </c>
      <c r="F289" s="11" t="s">
        <v>368</v>
      </c>
    </row>
    <row r="290" spans="1:6" x14ac:dyDescent="0.3">
      <c r="A290" s="12" t="s">
        <v>346</v>
      </c>
      <c r="B290" s="12" t="s">
        <v>347</v>
      </c>
      <c r="C290" s="12" t="s">
        <v>337</v>
      </c>
      <c r="D290" s="12" t="s">
        <v>316</v>
      </c>
      <c r="E290" s="11" t="s">
        <v>348</v>
      </c>
      <c r="F290" s="11" t="s">
        <v>349</v>
      </c>
    </row>
    <row r="291" spans="1:6" x14ac:dyDescent="0.3">
      <c r="A291" s="12" t="s">
        <v>431</v>
      </c>
      <c r="B291" s="12" t="s">
        <v>327</v>
      </c>
      <c r="C291" s="12" t="s">
        <v>323</v>
      </c>
      <c r="D291" s="12" t="s">
        <v>69</v>
      </c>
      <c r="E291" s="11" t="s">
        <v>91</v>
      </c>
      <c r="F291" s="11" t="s">
        <v>432</v>
      </c>
    </row>
    <row r="292" spans="1:6" x14ac:dyDescent="0.3">
      <c r="A292" s="12" t="s">
        <v>355</v>
      </c>
      <c r="B292" s="12" t="s">
        <v>327</v>
      </c>
      <c r="C292" s="12" t="s">
        <v>337</v>
      </c>
      <c r="D292" s="12" t="s">
        <v>316</v>
      </c>
      <c r="E292" s="11" t="s">
        <v>356</v>
      </c>
      <c r="F292" s="11" t="s">
        <v>357</v>
      </c>
    </row>
    <row r="293" spans="1:6" x14ac:dyDescent="0.3">
      <c r="A293" s="13" t="s">
        <v>405</v>
      </c>
      <c r="B293" s="12" t="s">
        <v>322</v>
      </c>
      <c r="C293" s="9" t="s">
        <v>337</v>
      </c>
      <c r="D293" s="9" t="s">
        <v>69</v>
      </c>
      <c r="E293" s="11" t="s">
        <v>120</v>
      </c>
      <c r="F293" s="11" t="s">
        <v>733</v>
      </c>
    </row>
    <row r="294" spans="1:6" x14ac:dyDescent="0.3">
      <c r="A294" s="12" t="s">
        <v>428</v>
      </c>
      <c r="B294" s="12" t="s">
        <v>347</v>
      </c>
      <c r="C294" s="12" t="s">
        <v>68</v>
      </c>
      <c r="D294" s="12" t="s">
        <v>69</v>
      </c>
      <c r="E294" s="11" t="s">
        <v>429</v>
      </c>
      <c r="F294" s="11" t="s">
        <v>26</v>
      </c>
    </row>
    <row r="295" spans="1:6" x14ac:dyDescent="0.3">
      <c r="A295" s="12" t="s">
        <v>423</v>
      </c>
      <c r="B295" s="12" t="s">
        <v>327</v>
      </c>
      <c r="C295" s="9" t="s">
        <v>337</v>
      </c>
      <c r="D295" s="12" t="s">
        <v>316</v>
      </c>
      <c r="E295" s="11" t="s">
        <v>122</v>
      </c>
      <c r="F295" s="11" t="s">
        <v>262</v>
      </c>
    </row>
    <row r="296" spans="1:6" x14ac:dyDescent="0.3">
      <c r="A296" s="13" t="s">
        <v>343</v>
      </c>
      <c r="B296" s="12" t="s">
        <v>314</v>
      </c>
      <c r="C296" s="9" t="s">
        <v>337</v>
      </c>
      <c r="D296" s="9" t="s">
        <v>316</v>
      </c>
      <c r="E296" s="11" t="s">
        <v>344</v>
      </c>
      <c r="F296" s="11" t="s">
        <v>345</v>
      </c>
    </row>
    <row r="297" spans="1:6" x14ac:dyDescent="0.3">
      <c r="A297" s="12" t="s">
        <v>430</v>
      </c>
      <c r="B297" s="12" t="s">
        <v>322</v>
      </c>
      <c r="C297" s="12" t="s">
        <v>337</v>
      </c>
      <c r="D297" s="12" t="s">
        <v>69</v>
      </c>
      <c r="E297" s="11" t="s">
        <v>331</v>
      </c>
      <c r="F297" s="11" t="s">
        <v>90</v>
      </c>
    </row>
    <row r="298" spans="1:6" x14ac:dyDescent="0.3">
      <c r="A298" s="12" t="s">
        <v>330</v>
      </c>
      <c r="B298" s="12" t="s">
        <v>327</v>
      </c>
      <c r="C298" s="12" t="s">
        <v>11</v>
      </c>
      <c r="D298" s="12" t="s">
        <v>316</v>
      </c>
      <c r="E298" s="11" t="s">
        <v>331</v>
      </c>
      <c r="F298" s="11"/>
    </row>
    <row r="299" spans="1:6" x14ac:dyDescent="0.3">
      <c r="A299" s="12" t="s">
        <v>362</v>
      </c>
      <c r="B299" s="12" t="s">
        <v>327</v>
      </c>
      <c r="C299" s="12" t="s">
        <v>337</v>
      </c>
      <c r="D299" s="12" t="s">
        <v>12</v>
      </c>
      <c r="E299" s="11" t="s">
        <v>98</v>
      </c>
      <c r="F299" s="11" t="s">
        <v>363</v>
      </c>
    </row>
    <row r="300" spans="1:6" x14ac:dyDescent="0.3">
      <c r="A300" s="13" t="s">
        <v>36</v>
      </c>
      <c r="B300" s="12" t="s">
        <v>314</v>
      </c>
      <c r="C300" s="9" t="s">
        <v>68</v>
      </c>
      <c r="D300" s="9" t="s">
        <v>69</v>
      </c>
      <c r="E300" s="11" t="s">
        <v>180</v>
      </c>
      <c r="F300" s="11" t="s">
        <v>156</v>
      </c>
    </row>
    <row r="301" spans="1:6" x14ac:dyDescent="0.3">
      <c r="A301" s="13" t="s">
        <v>321</v>
      </c>
      <c r="B301" s="12" t="s">
        <v>322</v>
      </c>
      <c r="C301" s="9" t="s">
        <v>323</v>
      </c>
      <c r="D301" s="9" t="s">
        <v>318</v>
      </c>
      <c r="E301" s="11" t="s">
        <v>86</v>
      </c>
      <c r="F301" s="11" t="s">
        <v>182</v>
      </c>
    </row>
    <row r="302" spans="1:6" x14ac:dyDescent="0.3">
      <c r="A302" s="12" t="s">
        <v>424</v>
      </c>
      <c r="B302" s="12" t="s">
        <v>322</v>
      </c>
      <c r="C302" s="14" t="s">
        <v>325</v>
      </c>
      <c r="D302" s="14" t="s">
        <v>79</v>
      </c>
      <c r="E302" s="11" t="s">
        <v>153</v>
      </c>
      <c r="F302" s="11" t="s">
        <v>134</v>
      </c>
    </row>
    <row r="303" spans="1:6" x14ac:dyDescent="0.3">
      <c r="A303" s="12" t="s">
        <v>435</v>
      </c>
      <c r="B303" s="12" t="s">
        <v>322</v>
      </c>
      <c r="C303" s="12" t="s">
        <v>325</v>
      </c>
      <c r="D303" s="12" t="s">
        <v>79</v>
      </c>
      <c r="E303" s="11" t="s">
        <v>76</v>
      </c>
      <c r="F303" s="11" t="s">
        <v>739</v>
      </c>
    </row>
    <row r="304" spans="1:6" x14ac:dyDescent="0.3">
      <c r="A304" s="13" t="s">
        <v>384</v>
      </c>
      <c r="B304" s="12" t="s">
        <v>322</v>
      </c>
      <c r="C304" s="9" t="s">
        <v>325</v>
      </c>
      <c r="D304" s="9" t="s">
        <v>79</v>
      </c>
      <c r="E304" s="11" t="s">
        <v>77</v>
      </c>
      <c r="F304" s="11" t="s">
        <v>385</v>
      </c>
    </row>
    <row r="305" spans="1:6" x14ac:dyDescent="0.3">
      <c r="A305" s="12" t="s">
        <v>353</v>
      </c>
      <c r="B305" s="12" t="s">
        <v>327</v>
      </c>
      <c r="C305" s="12" t="s">
        <v>325</v>
      </c>
      <c r="D305" s="12" t="s">
        <v>4</v>
      </c>
      <c r="E305" s="11" t="s">
        <v>354</v>
      </c>
      <c r="F305" s="11" t="s">
        <v>333</v>
      </c>
    </row>
    <row r="306" spans="1:6" x14ac:dyDescent="0.3">
      <c r="A306" s="12" t="s">
        <v>375</v>
      </c>
      <c r="B306" s="12" t="s">
        <v>327</v>
      </c>
      <c r="C306" s="12" t="s">
        <v>3</v>
      </c>
      <c r="D306" s="12" t="s">
        <v>335</v>
      </c>
      <c r="E306" s="11" t="s">
        <v>376</v>
      </c>
      <c r="F306" s="11" t="s">
        <v>377</v>
      </c>
    </row>
    <row r="307" spans="1:6" x14ac:dyDescent="0.3">
      <c r="A307" s="12" t="s">
        <v>436</v>
      </c>
      <c r="B307" s="12" t="s">
        <v>327</v>
      </c>
      <c r="C307" s="12" t="s">
        <v>75</v>
      </c>
      <c r="D307" s="12" t="s">
        <v>79</v>
      </c>
      <c r="E307" s="11" t="s">
        <v>83</v>
      </c>
      <c r="F307" s="11" t="s">
        <v>267</v>
      </c>
    </row>
    <row r="308" spans="1:6" x14ac:dyDescent="0.3">
      <c r="A308" s="13" t="s">
        <v>338</v>
      </c>
      <c r="B308" s="12" t="s">
        <v>327</v>
      </c>
      <c r="C308" s="9" t="s">
        <v>315</v>
      </c>
      <c r="D308" s="9" t="s">
        <v>335</v>
      </c>
      <c r="E308" s="11" t="s">
        <v>339</v>
      </c>
      <c r="F308" s="11" t="s">
        <v>340</v>
      </c>
    </row>
    <row r="309" spans="1:6" x14ac:dyDescent="0.3">
      <c r="A309" s="12" t="s">
        <v>397</v>
      </c>
      <c r="B309" s="12" t="s">
        <v>327</v>
      </c>
      <c r="C309" s="12" t="s">
        <v>387</v>
      </c>
      <c r="D309" s="12" t="s">
        <v>335</v>
      </c>
      <c r="E309" s="11" t="s">
        <v>398</v>
      </c>
      <c r="F309" s="11" t="s">
        <v>35</v>
      </c>
    </row>
    <row r="310" spans="1:6" x14ac:dyDescent="0.3">
      <c r="A310" s="13" t="s">
        <v>409</v>
      </c>
      <c r="B310" s="12" t="s">
        <v>327</v>
      </c>
      <c r="C310" s="9" t="s">
        <v>325</v>
      </c>
      <c r="D310" s="9" t="s">
        <v>335</v>
      </c>
      <c r="E310" s="11" t="s">
        <v>91</v>
      </c>
      <c r="F310" s="11" t="s">
        <v>333</v>
      </c>
    </row>
    <row r="311" spans="1:6" x14ac:dyDescent="0.3">
      <c r="A311" s="12" t="s">
        <v>388</v>
      </c>
      <c r="B311" s="12" t="s">
        <v>327</v>
      </c>
      <c r="C311" s="12" t="s">
        <v>325</v>
      </c>
      <c r="D311" s="12" t="s">
        <v>79</v>
      </c>
      <c r="E311" s="11" t="s">
        <v>371</v>
      </c>
      <c r="F311" s="11" t="s">
        <v>333</v>
      </c>
    </row>
    <row r="312" spans="1:6" x14ac:dyDescent="0.3">
      <c r="A312" s="12" t="s">
        <v>350</v>
      </c>
      <c r="B312" s="12" t="s">
        <v>327</v>
      </c>
      <c r="C312" s="12" t="s">
        <v>325</v>
      </c>
      <c r="D312" s="12" t="s">
        <v>335</v>
      </c>
      <c r="E312" s="11" t="s">
        <v>147</v>
      </c>
      <c r="F312" s="11" t="s">
        <v>16</v>
      </c>
    </row>
    <row r="313" spans="1:6" x14ac:dyDescent="0.3">
      <c r="A313" s="9" t="s">
        <v>392</v>
      </c>
      <c r="B313" s="12" t="s">
        <v>322</v>
      </c>
      <c r="C313" s="9" t="s">
        <v>315</v>
      </c>
      <c r="D313" s="9" t="s">
        <v>335</v>
      </c>
      <c r="E313" s="11" t="s">
        <v>352</v>
      </c>
      <c r="F313" s="11" t="s">
        <v>394</v>
      </c>
    </row>
    <row r="314" spans="1:6" x14ac:dyDescent="0.3">
      <c r="A314" s="13" t="s">
        <v>373</v>
      </c>
      <c r="B314" s="12" t="s">
        <v>322</v>
      </c>
      <c r="C314" s="9" t="s">
        <v>75</v>
      </c>
      <c r="D314" s="9" t="s">
        <v>335</v>
      </c>
      <c r="E314" s="11" t="s">
        <v>180</v>
      </c>
      <c r="F314" s="11" t="s">
        <v>374</v>
      </c>
    </row>
    <row r="315" spans="1:6" x14ac:dyDescent="0.3">
      <c r="A315" s="13" t="s">
        <v>422</v>
      </c>
      <c r="B315" s="12" t="s">
        <v>322</v>
      </c>
      <c r="C315" s="9" t="s">
        <v>75</v>
      </c>
      <c r="D315" s="9" t="s">
        <v>79</v>
      </c>
      <c r="E315" s="11" t="s">
        <v>180</v>
      </c>
      <c r="F315" s="11" t="s">
        <v>333</v>
      </c>
    </row>
    <row r="316" spans="1:6" x14ac:dyDescent="0.3">
      <c r="A316" s="12" t="s">
        <v>400</v>
      </c>
      <c r="B316" s="12" t="s">
        <v>327</v>
      </c>
      <c r="C316" s="14" t="s">
        <v>401</v>
      </c>
      <c r="D316" s="14" t="s">
        <v>69</v>
      </c>
      <c r="E316" s="11" t="s">
        <v>317</v>
      </c>
      <c r="F316" s="11" t="s">
        <v>402</v>
      </c>
    </row>
    <row r="317" spans="1:6" x14ac:dyDescent="0.3">
      <c r="A317" s="12" t="s">
        <v>410</v>
      </c>
      <c r="B317" s="12" t="s">
        <v>322</v>
      </c>
      <c r="C317" s="12" t="s">
        <v>75</v>
      </c>
      <c r="D317" s="12" t="s">
        <v>69</v>
      </c>
      <c r="E317" s="11" t="s">
        <v>14</v>
      </c>
      <c r="F317" s="11" t="s">
        <v>403</v>
      </c>
    </row>
    <row r="318" spans="1:6" x14ac:dyDescent="0.3">
      <c r="A318" s="12" t="s">
        <v>30</v>
      </c>
      <c r="B318" s="12" t="s">
        <v>314</v>
      </c>
      <c r="C318" s="12" t="s">
        <v>315</v>
      </c>
      <c r="D318" s="12" t="s">
        <v>318</v>
      </c>
      <c r="E318" s="11" t="s">
        <v>319</v>
      </c>
      <c r="F318" s="11" t="s">
        <v>320</v>
      </c>
    </row>
    <row r="319" spans="1:6" x14ac:dyDescent="0.3">
      <c r="A319" s="13" t="s">
        <v>399</v>
      </c>
      <c r="B319" s="12" t="s">
        <v>322</v>
      </c>
      <c r="C319" s="9" t="s">
        <v>75</v>
      </c>
      <c r="D319" s="9" t="s">
        <v>69</v>
      </c>
      <c r="E319" s="11" t="s">
        <v>393</v>
      </c>
      <c r="F319" s="11" t="s">
        <v>232</v>
      </c>
    </row>
    <row r="320" spans="1:6" x14ac:dyDescent="0.3">
      <c r="A320" s="12" t="s">
        <v>411</v>
      </c>
      <c r="B320" s="12" t="s">
        <v>322</v>
      </c>
      <c r="C320" s="12" t="s">
        <v>75</v>
      </c>
      <c r="D320" s="12" t="s">
        <v>69</v>
      </c>
      <c r="E320" s="11" t="s">
        <v>412</v>
      </c>
      <c r="F320" s="11" t="s">
        <v>736</v>
      </c>
    </row>
    <row r="321" spans="1:6" x14ac:dyDescent="0.3">
      <c r="A321" s="12" t="s">
        <v>33</v>
      </c>
      <c r="B321" s="12" t="s">
        <v>327</v>
      </c>
      <c r="C321" s="12" t="s">
        <v>75</v>
      </c>
      <c r="D321" s="12" t="s">
        <v>69</v>
      </c>
      <c r="E321" s="11" t="s">
        <v>371</v>
      </c>
      <c r="F321" s="11" t="s">
        <v>372</v>
      </c>
    </row>
    <row r="322" spans="1:6" x14ac:dyDescent="0.3">
      <c r="A322" s="12" t="s">
        <v>324</v>
      </c>
      <c r="B322" s="12" t="s">
        <v>314</v>
      </c>
      <c r="C322" s="12" t="s">
        <v>325</v>
      </c>
      <c r="D322" s="12" t="s">
        <v>316</v>
      </c>
      <c r="E322" s="11" t="s">
        <v>328</v>
      </c>
      <c r="F322" s="11" t="s">
        <v>329</v>
      </c>
    </row>
    <row r="323" spans="1:6" x14ac:dyDescent="0.3">
      <c r="A323" s="9" t="s">
        <v>780</v>
      </c>
      <c r="B323" s="12" t="s">
        <v>781</v>
      </c>
      <c r="C323" s="12" t="s">
        <v>6</v>
      </c>
      <c r="D323" s="10" t="s">
        <v>243</v>
      </c>
      <c r="E323" s="10" t="s">
        <v>782</v>
      </c>
      <c r="F323" s="10" t="s">
        <v>783</v>
      </c>
    </row>
  </sheetData>
  <autoFilter ref="A1:F323" xr:uid="{00000000-0001-0000-0000-000000000000}"/>
  <sortState xmlns:xlrd2="http://schemas.microsoft.com/office/spreadsheetml/2017/richdata2" ref="A2:F322">
    <sortCondition ref="B2:B322"/>
    <sortCondition ref="C2:C322"/>
    <sortCondition ref="D2:D322"/>
  </sortState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0"/>
  <sheetViews>
    <sheetView workbookViewId="0">
      <selection activeCell="Y18" sqref="Y18"/>
    </sheetView>
  </sheetViews>
  <sheetFormatPr defaultRowHeight="16.5" x14ac:dyDescent="0.3"/>
  <cols>
    <col min="1" max="1" width="15.75" customWidth="1"/>
    <col min="2" max="29" width="5.625" customWidth="1"/>
  </cols>
  <sheetData>
    <row r="1" spans="1:29" x14ac:dyDescent="0.3">
      <c r="A1" s="16" t="s">
        <v>758</v>
      </c>
      <c r="B1" s="15" t="s">
        <v>759</v>
      </c>
      <c r="C1" s="15"/>
      <c r="D1" s="15"/>
      <c r="E1" s="15"/>
      <c r="F1" s="15" t="s">
        <v>760</v>
      </c>
      <c r="G1" s="15"/>
      <c r="H1" s="15"/>
      <c r="I1" s="15"/>
      <c r="J1" s="15" t="s">
        <v>761</v>
      </c>
      <c r="K1" s="15"/>
      <c r="L1" s="15"/>
      <c r="M1" s="15"/>
      <c r="N1" s="15" t="s">
        <v>762</v>
      </c>
      <c r="O1" s="15"/>
      <c r="P1" s="15"/>
      <c r="Q1" s="15"/>
      <c r="R1" s="15" t="s">
        <v>4</v>
      </c>
      <c r="S1" s="15"/>
      <c r="T1" s="15"/>
      <c r="U1" s="15"/>
      <c r="V1" s="15" t="s">
        <v>763</v>
      </c>
      <c r="W1" s="15"/>
      <c r="X1" s="15"/>
      <c r="Y1" s="15"/>
      <c r="Z1" s="15" t="s">
        <v>764</v>
      </c>
      <c r="AA1" s="15"/>
      <c r="AB1" s="15"/>
      <c r="AC1" s="15"/>
    </row>
    <row r="2" spans="1:29" x14ac:dyDescent="0.3">
      <c r="A2" s="16"/>
      <c r="B2" s="1" t="s">
        <v>772</v>
      </c>
      <c r="C2" s="1" t="s">
        <v>189</v>
      </c>
      <c r="D2" s="1" t="s">
        <v>753</v>
      </c>
      <c r="E2" s="1" t="s">
        <v>765</v>
      </c>
      <c r="F2" s="1" t="s">
        <v>772</v>
      </c>
      <c r="G2" s="1" t="s">
        <v>189</v>
      </c>
      <c r="H2" s="1" t="s">
        <v>753</v>
      </c>
      <c r="I2" s="1" t="s">
        <v>765</v>
      </c>
      <c r="J2" s="1" t="s">
        <v>772</v>
      </c>
      <c r="K2" s="1" t="s">
        <v>189</v>
      </c>
      <c r="L2" s="1" t="s">
        <v>753</v>
      </c>
      <c r="M2" s="1" t="s">
        <v>765</v>
      </c>
      <c r="N2" s="1" t="s">
        <v>772</v>
      </c>
      <c r="O2" s="1" t="s">
        <v>189</v>
      </c>
      <c r="P2" s="1" t="s">
        <v>753</v>
      </c>
      <c r="Q2" s="1" t="s">
        <v>765</v>
      </c>
      <c r="R2" s="1" t="s">
        <v>772</v>
      </c>
      <c r="S2" s="1" t="s">
        <v>189</v>
      </c>
      <c r="T2" s="1" t="s">
        <v>753</v>
      </c>
      <c r="U2" s="1" t="s">
        <v>765</v>
      </c>
      <c r="V2" s="1" t="s">
        <v>772</v>
      </c>
      <c r="W2" s="1" t="s">
        <v>189</v>
      </c>
      <c r="X2" s="1" t="s">
        <v>753</v>
      </c>
      <c r="Y2" s="1" t="s">
        <v>765</v>
      </c>
      <c r="Z2" s="1" t="s">
        <v>772</v>
      </c>
      <c r="AA2" s="1" t="s">
        <v>189</v>
      </c>
      <c r="AB2" s="1" t="s">
        <v>753</v>
      </c>
      <c r="AC2" s="1" t="s">
        <v>765</v>
      </c>
    </row>
    <row r="3" spans="1:29" x14ac:dyDescent="0.3">
      <c r="A3" s="2" t="s">
        <v>754</v>
      </c>
      <c r="B3" s="3" t="e">
        <f>COUNTIFS('2026최종정리(전분원)'!B:B,A3,'2026최종정리(전분원)'!C:C,"일반",'2026최종정리(전분원)'!D:D,"인문",'2026최종정리(전분원)'!#REF!,"")+C3</f>
        <v>#REF!</v>
      </c>
      <c r="C3" s="3" t="e">
        <f>COUNTIFS('2026최종정리(전분원)'!B:B,A3,'2026최종정리(전분원)'!C:C,"일반",'2026최종정리(전분원)'!D:D,"인문",'2026최종정리(전분원)'!#REF!,"O")</f>
        <v>#REF!</v>
      </c>
      <c r="D3" s="3" t="e">
        <f>COUNTIFS('2026최종정리(전분원)'!B:B,A3,'2026최종정리(전분원)'!C:C,"일반",'2026최종정리(전분원)'!D:D,"인문",'2026최종정리(전분원)'!#REF!,"O",'2026최종정리(전분원)'!#REF!,"O")</f>
        <v>#REF!</v>
      </c>
      <c r="E3" s="3" t="e">
        <f>COUNTIFS('2026최종정리(전분원)'!B:B,A3,'2026최종정리(전분원)'!C:C,"일반",'2026최종정리(전분원)'!D:D,"인문",'2026최종정리(전분원)'!#REF!,"O",'2026최종정리(전분원)'!#REF!,"O")</f>
        <v>#REF!</v>
      </c>
      <c r="F3" s="3" t="e">
        <f>COUNTIFS('2026최종정리(전분원)'!B:B,A3,'2026최종정리(전분원)'!C:C,"일반",'2026최종정리(전분원)'!D:D,"자연",'2026최종정리(전분원)'!#REF!,"")+G3</f>
        <v>#REF!</v>
      </c>
      <c r="G3" s="3" t="e">
        <f>COUNTIFS('2026최종정리(전분원)'!B:B,A3,'2026최종정리(전분원)'!C:C,"일반",'2026최종정리(전분원)'!D:D,"자연",'2026최종정리(전분원)'!#REF!,"O")</f>
        <v>#REF!</v>
      </c>
      <c r="H3" s="3" t="e">
        <f>COUNTIFS('2026최종정리(전분원)'!B:B,A3,'2026최종정리(전분원)'!C:C,"일반",'2026최종정리(전분원)'!D:D,"자연",'2026최종정리(전분원)'!#REF!,"O",'2026최종정리(전분원)'!#REF!,"O")</f>
        <v>#REF!</v>
      </c>
      <c r="I3" s="3" t="e">
        <f>COUNTIFS('2026최종정리(전분원)'!B:B,A3,'2026최종정리(전분원)'!C:C,"일반",'2026최종정리(전분원)'!D:D,"자연",'2026최종정리(전분원)'!#REF!,"O",'2026최종정리(전분원)'!#REF!,"O")</f>
        <v>#REF!</v>
      </c>
      <c r="J3" s="3" t="e">
        <f>COUNTIFS('2026최종정리(전분원)'!B:B,A3,'2026최종정리(전분원)'!C:C,"학사",'2026최종정리(전분원)'!D:D,"인문",'2026최종정리(전분원)'!#REF!,"")+K3</f>
        <v>#REF!</v>
      </c>
      <c r="K3" s="3" t="e">
        <f>COUNTIFS('2026최종정리(전분원)'!B:B,A3,'2026최종정리(전분원)'!C:C,"학사",'2026최종정리(전분원)'!D:D,"인문",'2026최종정리(전분원)'!#REF!,"O")</f>
        <v>#REF!</v>
      </c>
      <c r="L3" s="3" t="e">
        <f>COUNTIFS('2026최종정리(전분원)'!B:B,A3,'2026최종정리(전분원)'!C:C,"학사",'2026최종정리(전분원)'!D:D,"인문",'2026최종정리(전분원)'!#REF!,"O",'2026최종정리(전분원)'!#REF!,"O")</f>
        <v>#REF!</v>
      </c>
      <c r="M3" s="3" t="e">
        <f>COUNTIFS('2026최종정리(전분원)'!B:B,A3,'2026최종정리(전분원)'!C:C,"학사",'2026최종정리(전분원)'!D:D,"인문",'2026최종정리(전분원)'!#REF!,"O",'2026최종정리(전분원)'!#REF!,"O")</f>
        <v>#REF!</v>
      </c>
      <c r="N3" s="3" t="e">
        <f>COUNTIFS('2026최종정리(전분원)'!B:B,A3,'2026최종정리(전분원)'!C:C,"학사",'2026최종정리(전분원)'!D:D,"자연",'2026최종정리(전분원)'!#REF!,"")+O3</f>
        <v>#REF!</v>
      </c>
      <c r="O3" s="3" t="e">
        <f>COUNTIFS('2026최종정리(전분원)'!B:B,A3,'2026최종정리(전분원)'!C:C,"학사",'2026최종정리(전분원)'!D:D,"자연",'2026최종정리(전분원)'!#REF!,"O")</f>
        <v>#REF!</v>
      </c>
      <c r="P3" s="3" t="e">
        <f>COUNTIFS('2026최종정리(전분원)'!B:B,A3,'2026최종정리(전분원)'!C:C,"학사",'2026최종정리(전분원)'!D:D,"자연",'2026최종정리(전분원)'!#REF!,"O",'2026최종정리(전분원)'!#REF!,"O")</f>
        <v>#REF!</v>
      </c>
      <c r="Q3" s="3" t="e">
        <f>COUNTIFS('2026최종정리(전분원)'!B:B,A3,'2026최종정리(전분원)'!C:C,"학사",'2026최종정리(전분원)'!D:D,"자연",'2026최종정리(전분원)'!#REF!,"O",'2026최종정리(전분원)'!#REF!,"O")</f>
        <v>#REF!</v>
      </c>
      <c r="R3" s="3" t="e">
        <f>B3+J3</f>
        <v>#REF!</v>
      </c>
      <c r="S3" s="3" t="e">
        <f>C3+K3</f>
        <v>#REF!</v>
      </c>
      <c r="T3" s="3" t="e">
        <f t="shared" ref="T3:Y3" si="0">D3+L3</f>
        <v>#REF!</v>
      </c>
      <c r="U3" s="3" t="e">
        <f t="shared" si="0"/>
        <v>#REF!</v>
      </c>
      <c r="V3" s="3" t="e">
        <f t="shared" si="0"/>
        <v>#REF!</v>
      </c>
      <c r="W3" s="3" t="e">
        <f t="shared" si="0"/>
        <v>#REF!</v>
      </c>
      <c r="X3" s="3" t="e">
        <f t="shared" si="0"/>
        <v>#REF!</v>
      </c>
      <c r="Y3" s="3" t="e">
        <f t="shared" si="0"/>
        <v>#REF!</v>
      </c>
      <c r="Z3" s="3" t="e">
        <f>R3+V3</f>
        <v>#REF!</v>
      </c>
      <c r="AA3" s="3" t="e">
        <f t="shared" ref="AA3:AC3" si="1">S3+W3</f>
        <v>#REF!</v>
      </c>
      <c r="AB3" s="3" t="e">
        <f t="shared" si="1"/>
        <v>#REF!</v>
      </c>
      <c r="AC3" s="3" t="e">
        <f t="shared" si="1"/>
        <v>#REF!</v>
      </c>
    </row>
    <row r="4" spans="1:29" x14ac:dyDescent="0.3">
      <c r="A4" s="2" t="s">
        <v>755</v>
      </c>
      <c r="B4" s="3" t="e">
        <f>COUNTIFS('2026최종정리(전분원)'!B:B,A4,'2026최종정리(전분원)'!C:C,"일반",'2026최종정리(전분원)'!D:D,"인문",'2026최종정리(전분원)'!#REF!,"")+C4</f>
        <v>#REF!</v>
      </c>
      <c r="C4" s="3" t="e">
        <f>COUNTIFS('2026최종정리(전분원)'!B:B,A4,'2026최종정리(전분원)'!C:C,"일반",'2026최종정리(전분원)'!D:D,"인문",'2026최종정리(전분원)'!#REF!,"O")</f>
        <v>#REF!</v>
      </c>
      <c r="D4" s="3" t="e">
        <f>COUNTIFS('2026최종정리(전분원)'!B:B,A4,'2026최종정리(전분원)'!C:C,"일반",'2026최종정리(전분원)'!D:D,"인문",'2026최종정리(전분원)'!#REF!,"O",'2026최종정리(전분원)'!#REF!,"O")</f>
        <v>#REF!</v>
      </c>
      <c r="E4" s="3" t="e">
        <f>COUNTIFS('2026최종정리(전분원)'!B:B,A4,'2026최종정리(전분원)'!C:C,"일반",'2026최종정리(전분원)'!D:D,"인문",'2026최종정리(전분원)'!#REF!,"O",'2026최종정리(전분원)'!#REF!,"O")</f>
        <v>#REF!</v>
      </c>
      <c r="F4" s="3" t="e">
        <f>COUNTIFS('2026최종정리(전분원)'!B:B,A4,'2026최종정리(전분원)'!C:C,"일반",'2026최종정리(전분원)'!D:D,"자연",'2026최종정리(전분원)'!#REF!,"")+G4</f>
        <v>#REF!</v>
      </c>
      <c r="G4" s="3" t="e">
        <f>COUNTIFS('2026최종정리(전분원)'!B:B,A4,'2026최종정리(전분원)'!C:C,"일반",'2026최종정리(전분원)'!D:D,"자연",'2026최종정리(전분원)'!#REF!,"O")</f>
        <v>#REF!</v>
      </c>
      <c r="H4" s="3" t="e">
        <f>COUNTIFS('2026최종정리(전분원)'!B:B,A4,'2026최종정리(전분원)'!C:C,"일반",'2026최종정리(전분원)'!D:D,"자연",'2026최종정리(전분원)'!#REF!,"O",'2026최종정리(전분원)'!#REF!,"O")</f>
        <v>#REF!</v>
      </c>
      <c r="I4" s="3" t="e">
        <f>COUNTIFS('2026최종정리(전분원)'!B:B,A4,'2026최종정리(전분원)'!C:C,"일반",'2026최종정리(전분원)'!D:D,"자연",'2026최종정리(전분원)'!#REF!,"O",'2026최종정리(전분원)'!#REF!,"O")</f>
        <v>#REF!</v>
      </c>
      <c r="J4" s="3" t="e">
        <f>COUNTIFS('2026최종정리(전분원)'!B:B,A4,'2026최종정리(전분원)'!C:C,"학사",'2026최종정리(전분원)'!D:D,"인문",'2026최종정리(전분원)'!#REF!,"")+K4</f>
        <v>#REF!</v>
      </c>
      <c r="K4" s="3" t="e">
        <f>COUNTIFS('2026최종정리(전분원)'!B:B,A4,'2026최종정리(전분원)'!C:C,"학사",'2026최종정리(전분원)'!D:D,"인문",'2026최종정리(전분원)'!#REF!,"O")</f>
        <v>#REF!</v>
      </c>
      <c r="L4" s="3" t="e">
        <f>COUNTIFS('2026최종정리(전분원)'!B:B,A4,'2026최종정리(전분원)'!C:C,"학사",'2026최종정리(전분원)'!D:D,"인문",'2026최종정리(전분원)'!#REF!,"O",'2026최종정리(전분원)'!#REF!,"O")</f>
        <v>#REF!</v>
      </c>
      <c r="M4" s="3" t="e">
        <f>COUNTIFS('2026최종정리(전분원)'!B:B,A4,'2026최종정리(전분원)'!C:C,"학사",'2026최종정리(전분원)'!D:D,"인문",'2026최종정리(전분원)'!#REF!,"O",'2026최종정리(전분원)'!#REF!,"O")</f>
        <v>#REF!</v>
      </c>
      <c r="N4" s="3" t="e">
        <f>COUNTIFS('2026최종정리(전분원)'!B:B,A4,'2026최종정리(전분원)'!C:C,"학사",'2026최종정리(전분원)'!D:D,"자연",'2026최종정리(전분원)'!#REF!,"")+O4</f>
        <v>#REF!</v>
      </c>
      <c r="O4" s="3" t="e">
        <f>COUNTIFS('2026최종정리(전분원)'!B:B,A4,'2026최종정리(전분원)'!C:C,"학사",'2026최종정리(전분원)'!D:D,"자연",'2026최종정리(전분원)'!#REF!,"O")</f>
        <v>#REF!</v>
      </c>
      <c r="P4" s="3" t="e">
        <f>COUNTIFS('2026최종정리(전분원)'!B:B,A4,'2026최종정리(전분원)'!C:C,"학사",'2026최종정리(전분원)'!D:D,"자연",'2026최종정리(전분원)'!#REF!,"O",'2026최종정리(전분원)'!#REF!,"O")</f>
        <v>#REF!</v>
      </c>
      <c r="Q4" s="3" t="e">
        <f>COUNTIFS('2026최종정리(전분원)'!B:B,A4,'2026최종정리(전분원)'!C:C,"학사",'2026최종정리(전분원)'!D:D,"자연",'2026최종정리(전분원)'!#REF!,"O",'2026최종정리(전분원)'!#REF!,"O")</f>
        <v>#REF!</v>
      </c>
      <c r="R4" s="3" t="e">
        <f t="shared" ref="R4:R7" si="2">B4+J4</f>
        <v>#REF!</v>
      </c>
      <c r="S4" s="3" t="e">
        <f t="shared" ref="S4:S7" si="3">C4+K4</f>
        <v>#REF!</v>
      </c>
      <c r="T4" s="3" t="e">
        <f t="shared" ref="T4:T7" si="4">D4+L4</f>
        <v>#REF!</v>
      </c>
      <c r="U4" s="3" t="e">
        <f t="shared" ref="U4:U7" si="5">E4+M4</f>
        <v>#REF!</v>
      </c>
      <c r="V4" s="3" t="e">
        <f t="shared" ref="V4:V7" si="6">F4+N4</f>
        <v>#REF!</v>
      </c>
      <c r="W4" s="3" t="e">
        <f t="shared" ref="W4:W7" si="7">G4+O4</f>
        <v>#REF!</v>
      </c>
      <c r="X4" s="3" t="e">
        <f t="shared" ref="X4:X7" si="8">H4+P4</f>
        <v>#REF!</v>
      </c>
      <c r="Y4" s="3" t="e">
        <f t="shared" ref="Y4:Y7" si="9">I4+Q4</f>
        <v>#REF!</v>
      </c>
      <c r="Z4" s="3" t="e">
        <f t="shared" ref="Z4:Z7" si="10">R4+V4</f>
        <v>#REF!</v>
      </c>
      <c r="AA4" s="3" t="e">
        <f t="shared" ref="AA4:AA7" si="11">S4+W4</f>
        <v>#REF!</v>
      </c>
      <c r="AB4" s="3" t="e">
        <f t="shared" ref="AB4:AB7" si="12">T4+X4</f>
        <v>#REF!</v>
      </c>
      <c r="AC4" s="3" t="e">
        <f t="shared" ref="AC4:AC7" si="13">U4+Y4</f>
        <v>#REF!</v>
      </c>
    </row>
    <row r="5" spans="1:29" x14ac:dyDescent="0.3">
      <c r="A5" s="2" t="s">
        <v>756</v>
      </c>
      <c r="B5" s="3" t="e">
        <f>COUNTIFS('2026최종정리(전분원)'!B:B,A5,'2026최종정리(전분원)'!C:C,"일반",'2026최종정리(전분원)'!D:D,"인문",'2026최종정리(전분원)'!#REF!,"")+C5</f>
        <v>#REF!</v>
      </c>
      <c r="C5" s="3" t="e">
        <f>COUNTIFS('2026최종정리(전분원)'!B:B,A5,'2026최종정리(전분원)'!C:C,"일반",'2026최종정리(전분원)'!D:D,"인문",'2026최종정리(전분원)'!#REF!,"O")</f>
        <v>#REF!</v>
      </c>
      <c r="D5" s="3" t="e">
        <f>COUNTIFS('2026최종정리(전분원)'!B:B,A5,'2026최종정리(전분원)'!C:C,"일반",'2026최종정리(전분원)'!D:D,"인문",'2026최종정리(전분원)'!#REF!,"O",'2026최종정리(전분원)'!#REF!,"O")</f>
        <v>#REF!</v>
      </c>
      <c r="E5" s="3" t="e">
        <f>COUNTIFS('2026최종정리(전분원)'!B:B,A5,'2026최종정리(전분원)'!C:C,"일반",'2026최종정리(전분원)'!D:D,"인문",'2026최종정리(전분원)'!#REF!,"O",'2026최종정리(전분원)'!#REF!,"O")</f>
        <v>#REF!</v>
      </c>
      <c r="F5" s="3" t="e">
        <f>COUNTIFS('2026최종정리(전분원)'!B:B,A5,'2026최종정리(전분원)'!C:C,"일반",'2026최종정리(전분원)'!D:D,"자연",'2026최종정리(전분원)'!#REF!,"")+G5</f>
        <v>#REF!</v>
      </c>
      <c r="G5" s="3" t="e">
        <f>COUNTIFS('2026최종정리(전분원)'!B:B,A5,'2026최종정리(전분원)'!C:C,"일반",'2026최종정리(전분원)'!D:D,"자연",'2026최종정리(전분원)'!#REF!,"O")</f>
        <v>#REF!</v>
      </c>
      <c r="H5" s="3" t="e">
        <f>COUNTIFS('2026최종정리(전분원)'!B:B,A5,'2026최종정리(전분원)'!C:C,"일반",'2026최종정리(전분원)'!D:D,"자연",'2026최종정리(전분원)'!#REF!,"O",'2026최종정리(전분원)'!#REF!,"O")</f>
        <v>#REF!</v>
      </c>
      <c r="I5" s="3" t="e">
        <f>COUNTIFS('2026최종정리(전분원)'!B:B,A5,'2026최종정리(전분원)'!C:C,"일반",'2026최종정리(전분원)'!D:D,"자연",'2026최종정리(전분원)'!#REF!,"O",'2026최종정리(전분원)'!#REF!,"O")</f>
        <v>#REF!</v>
      </c>
      <c r="J5" s="3" t="e">
        <f>COUNTIFS('2026최종정리(전분원)'!B:B,A5,'2026최종정리(전분원)'!C:C,"학사",'2026최종정리(전분원)'!D:D,"인문",'2026최종정리(전분원)'!#REF!,"")+K5</f>
        <v>#REF!</v>
      </c>
      <c r="K5" s="3" t="e">
        <f>COUNTIFS('2026최종정리(전분원)'!B:B,A5,'2026최종정리(전분원)'!C:C,"학사",'2026최종정리(전분원)'!D:D,"인문",'2026최종정리(전분원)'!#REF!,"O")</f>
        <v>#REF!</v>
      </c>
      <c r="L5" s="3" t="e">
        <f>COUNTIFS('2026최종정리(전분원)'!B:B,A5,'2026최종정리(전분원)'!C:C,"학사",'2026최종정리(전분원)'!D:D,"인문",'2026최종정리(전분원)'!#REF!,"O",'2026최종정리(전분원)'!#REF!,"O")</f>
        <v>#REF!</v>
      </c>
      <c r="M5" s="3" t="e">
        <f>COUNTIFS('2026최종정리(전분원)'!B:B,A5,'2026최종정리(전분원)'!C:C,"학사",'2026최종정리(전분원)'!D:D,"인문",'2026최종정리(전분원)'!#REF!,"O",'2026최종정리(전분원)'!#REF!,"O")</f>
        <v>#REF!</v>
      </c>
      <c r="N5" s="3" t="e">
        <f>COUNTIFS('2026최종정리(전분원)'!B:B,A5,'2026최종정리(전분원)'!C:C,"학사",'2026최종정리(전분원)'!D:D,"자연",'2026최종정리(전분원)'!#REF!,"")+O5</f>
        <v>#REF!</v>
      </c>
      <c r="O5" s="3" t="e">
        <f>COUNTIFS('2026최종정리(전분원)'!B:B,A5,'2026최종정리(전분원)'!C:C,"학사",'2026최종정리(전분원)'!D:D,"자연",'2026최종정리(전분원)'!#REF!,"O")</f>
        <v>#REF!</v>
      </c>
      <c r="P5" s="3" t="e">
        <f>COUNTIFS('2026최종정리(전분원)'!B:B,A5,'2026최종정리(전분원)'!C:C,"학사",'2026최종정리(전분원)'!D:D,"자연",'2026최종정리(전분원)'!#REF!,"O",'2026최종정리(전분원)'!#REF!,"O")</f>
        <v>#REF!</v>
      </c>
      <c r="Q5" s="3" t="e">
        <f>COUNTIFS('2026최종정리(전분원)'!B:B,A5,'2026최종정리(전분원)'!C:C,"학사",'2026최종정리(전분원)'!D:D,"자연",'2026최종정리(전분원)'!#REF!,"O",'2026최종정리(전분원)'!#REF!,"O")</f>
        <v>#REF!</v>
      </c>
      <c r="R5" s="3" t="e">
        <f t="shared" si="2"/>
        <v>#REF!</v>
      </c>
      <c r="S5" s="3" t="e">
        <f t="shared" si="3"/>
        <v>#REF!</v>
      </c>
      <c r="T5" s="3" t="e">
        <f t="shared" si="4"/>
        <v>#REF!</v>
      </c>
      <c r="U5" s="3" t="e">
        <f t="shared" si="5"/>
        <v>#REF!</v>
      </c>
      <c r="V5" s="3" t="e">
        <f t="shared" si="6"/>
        <v>#REF!</v>
      </c>
      <c r="W5" s="3" t="e">
        <f t="shared" si="7"/>
        <v>#REF!</v>
      </c>
      <c r="X5" s="3" t="e">
        <f t="shared" si="8"/>
        <v>#REF!</v>
      </c>
      <c r="Y5" s="3" t="e">
        <f t="shared" si="9"/>
        <v>#REF!</v>
      </c>
      <c r="Z5" s="3" t="e">
        <f t="shared" si="10"/>
        <v>#REF!</v>
      </c>
      <c r="AA5" s="3" t="e">
        <f t="shared" si="11"/>
        <v>#REF!</v>
      </c>
      <c r="AB5" s="3" t="e">
        <f t="shared" si="12"/>
        <v>#REF!</v>
      </c>
      <c r="AC5" s="3" t="e">
        <f t="shared" si="13"/>
        <v>#REF!</v>
      </c>
    </row>
    <row r="6" spans="1:29" x14ac:dyDescent="0.3">
      <c r="A6" s="2" t="s">
        <v>771</v>
      </c>
      <c r="B6" s="3" t="e">
        <f>COUNTIFS('2026최종정리(전분원)'!B:B,A6,'2026최종정리(전분원)'!C:C,"일반",'2026최종정리(전분원)'!D:D,"인문",'2026최종정리(전분원)'!#REF!,"")+C6</f>
        <v>#REF!</v>
      </c>
      <c r="C6" s="3" t="e">
        <f>COUNTIFS('2026최종정리(전분원)'!B:B,A6,'2026최종정리(전분원)'!C:C,"일반",'2026최종정리(전분원)'!D:D,"인문",'2026최종정리(전분원)'!#REF!,"O")</f>
        <v>#REF!</v>
      </c>
      <c r="D6" s="3" t="e">
        <f>COUNTIFS('2026최종정리(전분원)'!B:B,A6,'2026최종정리(전분원)'!C:C,"일반",'2026최종정리(전분원)'!D:D,"인문",'2026최종정리(전분원)'!#REF!,"O",'2026최종정리(전분원)'!#REF!,"O")</f>
        <v>#REF!</v>
      </c>
      <c r="E6" s="3" t="e">
        <f>COUNTIFS('2026최종정리(전분원)'!B:B,A6,'2026최종정리(전분원)'!C:C,"일반",'2026최종정리(전분원)'!D:D,"인문",'2026최종정리(전분원)'!#REF!,"O",'2026최종정리(전분원)'!#REF!,"O")</f>
        <v>#REF!</v>
      </c>
      <c r="F6" s="3" t="e">
        <f>COUNTIFS('2026최종정리(전분원)'!B:B,A6,'2026최종정리(전분원)'!C:C,"일반",'2026최종정리(전분원)'!D:D,"자연",'2026최종정리(전분원)'!#REF!,"")+G6</f>
        <v>#REF!</v>
      </c>
      <c r="G6" s="3" t="e">
        <f>COUNTIFS('2026최종정리(전분원)'!B:B,A6,'2026최종정리(전분원)'!C:C,"일반",'2026최종정리(전분원)'!D:D,"자연",'2026최종정리(전분원)'!#REF!,"O")</f>
        <v>#REF!</v>
      </c>
      <c r="H6" s="3" t="e">
        <f>COUNTIFS('2026최종정리(전분원)'!B:B,A6,'2026최종정리(전분원)'!C:C,"일반",'2026최종정리(전분원)'!D:D,"자연",'2026최종정리(전분원)'!#REF!,"O",'2026최종정리(전분원)'!#REF!,"O")</f>
        <v>#REF!</v>
      </c>
      <c r="I6" s="3" t="e">
        <f>COUNTIFS('2026최종정리(전분원)'!B:B,A6,'2026최종정리(전분원)'!C:C,"일반",'2026최종정리(전분원)'!D:D,"자연",'2026최종정리(전분원)'!#REF!,"O",'2026최종정리(전분원)'!#REF!,"O")</f>
        <v>#REF!</v>
      </c>
      <c r="J6" s="3" t="e">
        <f>COUNTIFS('2026최종정리(전분원)'!B:B,A6,'2026최종정리(전분원)'!C:C,"학사",'2026최종정리(전분원)'!D:D,"인문",'2026최종정리(전분원)'!#REF!,"")+K6</f>
        <v>#REF!</v>
      </c>
      <c r="K6" s="3" t="e">
        <f>COUNTIFS('2026최종정리(전분원)'!B:B,A6,'2026최종정리(전분원)'!C:C,"학사",'2026최종정리(전분원)'!D:D,"인문",'2026최종정리(전분원)'!#REF!,"O")</f>
        <v>#REF!</v>
      </c>
      <c r="L6" s="3" t="e">
        <f>COUNTIFS('2026최종정리(전분원)'!B:B,A6,'2026최종정리(전분원)'!C:C,"학사",'2026최종정리(전분원)'!D:D,"인문",'2026최종정리(전분원)'!#REF!,"O",'2026최종정리(전분원)'!#REF!,"O")</f>
        <v>#REF!</v>
      </c>
      <c r="M6" s="3" t="e">
        <f>COUNTIFS('2026최종정리(전분원)'!B:B,A6,'2026최종정리(전분원)'!C:C,"학사",'2026최종정리(전분원)'!D:D,"인문",'2026최종정리(전분원)'!#REF!,"O",'2026최종정리(전분원)'!#REF!,"O")</f>
        <v>#REF!</v>
      </c>
      <c r="N6" s="3" t="e">
        <f>COUNTIFS('2026최종정리(전분원)'!B:B,A6,'2026최종정리(전분원)'!C:C,"학사",'2026최종정리(전분원)'!D:D,"자연",'2026최종정리(전분원)'!#REF!,"")+O6</f>
        <v>#REF!</v>
      </c>
      <c r="O6" s="3" t="e">
        <f>COUNTIFS('2026최종정리(전분원)'!B:B,A6,'2026최종정리(전분원)'!C:C,"학사",'2026최종정리(전분원)'!D:D,"자연",'2026최종정리(전분원)'!#REF!,"O")</f>
        <v>#REF!</v>
      </c>
      <c r="P6" s="3" t="e">
        <f>COUNTIFS('2026최종정리(전분원)'!B:B,A6,'2026최종정리(전분원)'!C:C,"학사",'2026최종정리(전분원)'!D:D,"자연",'2026최종정리(전분원)'!#REF!,"O",'2026최종정리(전분원)'!#REF!,"O")</f>
        <v>#REF!</v>
      </c>
      <c r="Q6" s="3" t="e">
        <f>COUNTIFS('2026최종정리(전분원)'!B:B,A6,'2026최종정리(전분원)'!C:C,"학사",'2026최종정리(전분원)'!D:D,"자연",'2026최종정리(전분원)'!#REF!,"O",'2026최종정리(전분원)'!#REF!,"O")</f>
        <v>#REF!</v>
      </c>
      <c r="R6" s="3" t="e">
        <f t="shared" si="2"/>
        <v>#REF!</v>
      </c>
      <c r="S6" s="3" t="e">
        <f t="shared" si="3"/>
        <v>#REF!</v>
      </c>
      <c r="T6" s="3" t="e">
        <f t="shared" si="4"/>
        <v>#REF!</v>
      </c>
      <c r="U6" s="3" t="e">
        <f t="shared" si="5"/>
        <v>#REF!</v>
      </c>
      <c r="V6" s="3" t="e">
        <f t="shared" si="6"/>
        <v>#REF!</v>
      </c>
      <c r="W6" s="3" t="e">
        <f t="shared" si="7"/>
        <v>#REF!</v>
      </c>
      <c r="X6" s="3" t="e">
        <f t="shared" si="8"/>
        <v>#REF!</v>
      </c>
      <c r="Y6" s="3" t="e">
        <f t="shared" si="9"/>
        <v>#REF!</v>
      </c>
      <c r="Z6" s="3" t="e">
        <f t="shared" si="10"/>
        <v>#REF!</v>
      </c>
      <c r="AA6" s="3" t="e">
        <f t="shared" si="11"/>
        <v>#REF!</v>
      </c>
      <c r="AB6" s="3" t="e">
        <f t="shared" si="12"/>
        <v>#REF!</v>
      </c>
      <c r="AC6" s="3" t="e">
        <f t="shared" si="13"/>
        <v>#REF!</v>
      </c>
    </row>
    <row r="7" spans="1:29" x14ac:dyDescent="0.3">
      <c r="A7" s="2" t="s">
        <v>757</v>
      </c>
      <c r="B7" s="3" t="e">
        <f>COUNTIFS('2026최종정리(전분원)'!B:B,A7,'2026최종정리(전분원)'!C:C,"일반",'2026최종정리(전분원)'!D:D,"인문",'2026최종정리(전분원)'!#REF!,"")+C7</f>
        <v>#REF!</v>
      </c>
      <c r="C7" s="3" t="e">
        <f>COUNTIFS('2026최종정리(전분원)'!B:B,A7,'2026최종정리(전분원)'!C:C,"일반",'2026최종정리(전분원)'!D:D,"인문",'2026최종정리(전분원)'!#REF!,"O")</f>
        <v>#REF!</v>
      </c>
      <c r="D7" s="3" t="e">
        <f>COUNTIFS('2026최종정리(전분원)'!B:B,A7,'2026최종정리(전분원)'!C:C,"일반",'2026최종정리(전분원)'!D:D,"인문",'2026최종정리(전분원)'!#REF!,"O",'2026최종정리(전분원)'!#REF!,"O")</f>
        <v>#REF!</v>
      </c>
      <c r="E7" s="3" t="e">
        <f>COUNTIFS('2026최종정리(전분원)'!B:B,A7,'2026최종정리(전분원)'!C:C,"일반",'2026최종정리(전분원)'!D:D,"인문",'2026최종정리(전분원)'!#REF!,"O",'2026최종정리(전분원)'!#REF!,"O")</f>
        <v>#REF!</v>
      </c>
      <c r="F7" s="3" t="e">
        <f>COUNTIFS('2026최종정리(전분원)'!B:B,A7,'2026최종정리(전분원)'!C:C,"일반",'2026최종정리(전분원)'!D:D,"자연",'2026최종정리(전분원)'!#REF!,"")+G7</f>
        <v>#REF!</v>
      </c>
      <c r="G7" s="3" t="e">
        <f>COUNTIFS('2026최종정리(전분원)'!B:B,A7,'2026최종정리(전분원)'!C:C,"일반",'2026최종정리(전분원)'!D:D,"자연",'2026최종정리(전분원)'!#REF!,"O")</f>
        <v>#REF!</v>
      </c>
      <c r="H7" s="3" t="e">
        <f>COUNTIFS('2026최종정리(전분원)'!B:B,A7,'2026최종정리(전분원)'!C:C,"일반",'2026최종정리(전분원)'!D:D,"자연",'2026최종정리(전분원)'!#REF!,"O",'2026최종정리(전분원)'!#REF!,"O")</f>
        <v>#REF!</v>
      </c>
      <c r="I7" s="3" t="e">
        <f>COUNTIFS('2026최종정리(전분원)'!B:B,A7,'2026최종정리(전분원)'!C:C,"일반",'2026최종정리(전분원)'!D:D,"자연",'2026최종정리(전분원)'!#REF!,"O",'2026최종정리(전분원)'!#REF!,"O")</f>
        <v>#REF!</v>
      </c>
      <c r="J7" s="3" t="e">
        <f>COUNTIFS('2026최종정리(전분원)'!B:B,A7,'2026최종정리(전분원)'!C:C,"학사",'2026최종정리(전분원)'!D:D,"인문",'2026최종정리(전분원)'!#REF!,"")+K7</f>
        <v>#REF!</v>
      </c>
      <c r="K7" s="3" t="e">
        <f>COUNTIFS('2026최종정리(전분원)'!B:B,A7,'2026최종정리(전분원)'!C:C,"학사",'2026최종정리(전분원)'!D:D,"인문",'2026최종정리(전분원)'!#REF!,"O")</f>
        <v>#REF!</v>
      </c>
      <c r="L7" s="3" t="e">
        <f>COUNTIFS('2026최종정리(전분원)'!B:B,A7,'2026최종정리(전분원)'!C:C,"학사",'2026최종정리(전분원)'!D:D,"인문",'2026최종정리(전분원)'!#REF!,"O",'2026최종정리(전분원)'!#REF!,"O")</f>
        <v>#REF!</v>
      </c>
      <c r="M7" s="3" t="e">
        <f>COUNTIFS('2026최종정리(전분원)'!B:B,A7,'2026최종정리(전분원)'!C:C,"학사",'2026최종정리(전분원)'!D:D,"인문",'2026최종정리(전분원)'!#REF!,"O",'2026최종정리(전분원)'!#REF!,"O")</f>
        <v>#REF!</v>
      </c>
      <c r="N7" s="3" t="e">
        <f>COUNTIFS('2026최종정리(전분원)'!B:B,A7,'2026최종정리(전분원)'!C:C,"학사",'2026최종정리(전분원)'!D:D,"자연",'2026최종정리(전분원)'!#REF!,"")+O7</f>
        <v>#REF!</v>
      </c>
      <c r="O7" s="3" t="e">
        <f>COUNTIFS('2026최종정리(전분원)'!B:B,A7,'2026최종정리(전분원)'!C:C,"학사",'2026최종정리(전분원)'!D:D,"자연",'2026최종정리(전분원)'!#REF!,"O")</f>
        <v>#REF!</v>
      </c>
      <c r="P7" s="3" t="e">
        <f>COUNTIFS('2026최종정리(전분원)'!B:B,A7,'2026최종정리(전분원)'!C:C,"학사",'2026최종정리(전분원)'!D:D,"자연",'2026최종정리(전분원)'!#REF!,"O",'2026최종정리(전분원)'!#REF!,"O")</f>
        <v>#REF!</v>
      </c>
      <c r="Q7" s="3" t="e">
        <f>COUNTIFS('2026최종정리(전분원)'!B:B,A7,'2026최종정리(전분원)'!C:C,"학사",'2026최종정리(전분원)'!D:D,"자연",'2026최종정리(전분원)'!#REF!,"O",'2026최종정리(전분원)'!#REF!,"O")</f>
        <v>#REF!</v>
      </c>
      <c r="R7" s="3" t="e">
        <f t="shared" si="2"/>
        <v>#REF!</v>
      </c>
      <c r="S7" s="3" t="e">
        <f t="shared" si="3"/>
        <v>#REF!</v>
      </c>
      <c r="T7" s="3" t="e">
        <f t="shared" si="4"/>
        <v>#REF!</v>
      </c>
      <c r="U7" s="3" t="e">
        <f t="shared" si="5"/>
        <v>#REF!</v>
      </c>
      <c r="V7" s="3" t="e">
        <f t="shared" si="6"/>
        <v>#REF!</v>
      </c>
      <c r="W7" s="3" t="e">
        <f t="shared" si="7"/>
        <v>#REF!</v>
      </c>
      <c r="X7" s="3" t="e">
        <f t="shared" si="8"/>
        <v>#REF!</v>
      </c>
      <c r="Y7" s="3" t="e">
        <f t="shared" si="9"/>
        <v>#REF!</v>
      </c>
      <c r="Z7" s="3" t="e">
        <f t="shared" si="10"/>
        <v>#REF!</v>
      </c>
      <c r="AA7" s="3" t="e">
        <f t="shared" si="11"/>
        <v>#REF!</v>
      </c>
      <c r="AB7" s="3" t="e">
        <f t="shared" si="12"/>
        <v>#REF!</v>
      </c>
      <c r="AC7" s="3" t="e">
        <f t="shared" si="13"/>
        <v>#REF!</v>
      </c>
    </row>
    <row r="8" spans="1:29" x14ac:dyDescent="0.3">
      <c r="A8" s="2" t="s">
        <v>766</v>
      </c>
      <c r="B8" s="4" t="e">
        <f>B3+B4+B5+B6</f>
        <v>#REF!</v>
      </c>
      <c r="C8" s="4" t="e">
        <f t="shared" ref="C8:AC8" si="14">C3+C4+C5+C6</f>
        <v>#REF!</v>
      </c>
      <c r="D8" s="4" t="e">
        <f t="shared" si="14"/>
        <v>#REF!</v>
      </c>
      <c r="E8" s="4" t="e">
        <f t="shared" si="14"/>
        <v>#REF!</v>
      </c>
      <c r="F8" s="4" t="e">
        <f t="shared" si="14"/>
        <v>#REF!</v>
      </c>
      <c r="G8" s="4" t="e">
        <f t="shared" si="14"/>
        <v>#REF!</v>
      </c>
      <c r="H8" s="4" t="e">
        <f t="shared" si="14"/>
        <v>#REF!</v>
      </c>
      <c r="I8" s="4" t="e">
        <f t="shared" si="14"/>
        <v>#REF!</v>
      </c>
      <c r="J8" s="4" t="e">
        <f t="shared" si="14"/>
        <v>#REF!</v>
      </c>
      <c r="K8" s="4" t="e">
        <f t="shared" si="14"/>
        <v>#REF!</v>
      </c>
      <c r="L8" s="4" t="e">
        <f t="shared" si="14"/>
        <v>#REF!</v>
      </c>
      <c r="M8" s="4" t="e">
        <f t="shared" si="14"/>
        <v>#REF!</v>
      </c>
      <c r="N8" s="4" t="e">
        <f t="shared" si="14"/>
        <v>#REF!</v>
      </c>
      <c r="O8" s="4" t="e">
        <f t="shared" si="14"/>
        <v>#REF!</v>
      </c>
      <c r="P8" s="4" t="e">
        <f t="shared" si="14"/>
        <v>#REF!</v>
      </c>
      <c r="Q8" s="4" t="e">
        <f t="shared" si="14"/>
        <v>#REF!</v>
      </c>
      <c r="R8" s="4" t="e">
        <f t="shared" si="14"/>
        <v>#REF!</v>
      </c>
      <c r="S8" s="4" t="e">
        <f t="shared" si="14"/>
        <v>#REF!</v>
      </c>
      <c r="T8" s="4" t="e">
        <f t="shared" si="14"/>
        <v>#REF!</v>
      </c>
      <c r="U8" s="4" t="e">
        <f t="shared" si="14"/>
        <v>#REF!</v>
      </c>
      <c r="V8" s="4" t="e">
        <f t="shared" si="14"/>
        <v>#REF!</v>
      </c>
      <c r="W8" s="4" t="e">
        <f t="shared" si="14"/>
        <v>#REF!</v>
      </c>
      <c r="X8" s="4" t="e">
        <f t="shared" si="14"/>
        <v>#REF!</v>
      </c>
      <c r="Y8" s="4" t="e">
        <f t="shared" si="14"/>
        <v>#REF!</v>
      </c>
      <c r="Z8" s="4" t="e">
        <f>Z3+Z4+Z5+Z6</f>
        <v>#REF!</v>
      </c>
      <c r="AA8" s="4" t="e">
        <f t="shared" si="14"/>
        <v>#REF!</v>
      </c>
      <c r="AB8" s="4" t="e">
        <f t="shared" si="14"/>
        <v>#REF!</v>
      </c>
      <c r="AC8" s="4" t="e">
        <f t="shared" si="14"/>
        <v>#REF!</v>
      </c>
    </row>
    <row r="9" spans="1:29" x14ac:dyDescent="0.3">
      <c r="A9" s="2" t="s">
        <v>767</v>
      </c>
      <c r="B9" s="3" t="e">
        <f>SUM(B3:B7)</f>
        <v>#REF!</v>
      </c>
      <c r="C9" s="3" t="e">
        <f t="shared" ref="C9:AC9" si="15">SUM(C3:C7)</f>
        <v>#REF!</v>
      </c>
      <c r="D9" s="3" t="e">
        <f t="shared" si="15"/>
        <v>#REF!</v>
      </c>
      <c r="E9" s="3" t="e">
        <f t="shared" si="15"/>
        <v>#REF!</v>
      </c>
      <c r="F9" s="3" t="e">
        <f t="shared" si="15"/>
        <v>#REF!</v>
      </c>
      <c r="G9" s="3" t="e">
        <f t="shared" si="15"/>
        <v>#REF!</v>
      </c>
      <c r="H9" s="3" t="e">
        <f t="shared" si="15"/>
        <v>#REF!</v>
      </c>
      <c r="I9" s="3" t="e">
        <f t="shared" si="15"/>
        <v>#REF!</v>
      </c>
      <c r="J9" s="3" t="e">
        <f t="shared" si="15"/>
        <v>#REF!</v>
      </c>
      <c r="K9" s="3" t="e">
        <f t="shared" si="15"/>
        <v>#REF!</v>
      </c>
      <c r="L9" s="3" t="e">
        <f t="shared" si="15"/>
        <v>#REF!</v>
      </c>
      <c r="M9" s="3" t="e">
        <f t="shared" si="15"/>
        <v>#REF!</v>
      </c>
      <c r="N9" s="3" t="e">
        <f t="shared" si="15"/>
        <v>#REF!</v>
      </c>
      <c r="O9" s="3" t="e">
        <f t="shared" si="15"/>
        <v>#REF!</v>
      </c>
      <c r="P9" s="3" t="e">
        <f t="shared" si="15"/>
        <v>#REF!</v>
      </c>
      <c r="Q9" s="3" t="e">
        <f t="shared" si="15"/>
        <v>#REF!</v>
      </c>
      <c r="R9" s="3" t="e">
        <f t="shared" si="15"/>
        <v>#REF!</v>
      </c>
      <c r="S9" s="3" t="e">
        <f t="shared" si="15"/>
        <v>#REF!</v>
      </c>
      <c r="T9" s="3" t="e">
        <f t="shared" si="15"/>
        <v>#REF!</v>
      </c>
      <c r="U9" s="3" t="e">
        <f t="shared" si="15"/>
        <v>#REF!</v>
      </c>
      <c r="V9" s="3" t="e">
        <f t="shared" si="15"/>
        <v>#REF!</v>
      </c>
      <c r="W9" s="3" t="e">
        <f t="shared" si="15"/>
        <v>#REF!</v>
      </c>
      <c r="X9" s="3" t="e">
        <f t="shared" si="15"/>
        <v>#REF!</v>
      </c>
      <c r="Y9" s="3" t="e">
        <f t="shared" si="15"/>
        <v>#REF!</v>
      </c>
      <c r="Z9" s="3" t="e">
        <f t="shared" si="15"/>
        <v>#REF!</v>
      </c>
      <c r="AA9" s="3" t="e">
        <f t="shared" si="15"/>
        <v>#REF!</v>
      </c>
      <c r="AB9" s="3" t="e">
        <f t="shared" si="15"/>
        <v>#REF!</v>
      </c>
      <c r="AC9" s="3" t="e">
        <f t="shared" si="15"/>
        <v>#REF!</v>
      </c>
    </row>
    <row r="11" spans="1:29" x14ac:dyDescent="0.3">
      <c r="A11" s="16" t="s">
        <v>768</v>
      </c>
      <c r="B11" s="15" t="s">
        <v>759</v>
      </c>
      <c r="C11" s="15"/>
      <c r="D11" s="15"/>
      <c r="E11" s="15" t="s">
        <v>760</v>
      </c>
      <c r="F11" s="15"/>
      <c r="G11" s="15"/>
      <c r="H11" s="15" t="s">
        <v>761</v>
      </c>
      <c r="I11" s="15"/>
      <c r="J11" s="15"/>
      <c r="K11" s="15" t="s">
        <v>762</v>
      </c>
      <c r="L11" s="15"/>
      <c r="M11" s="15"/>
      <c r="N11" s="15" t="s">
        <v>4</v>
      </c>
      <c r="O11" s="15"/>
      <c r="P11" s="15"/>
      <c r="Q11" s="15" t="s">
        <v>12</v>
      </c>
      <c r="R11" s="15"/>
      <c r="S11" s="15"/>
      <c r="T11" s="15" t="s">
        <v>764</v>
      </c>
      <c r="U11" s="15"/>
      <c r="V11" s="15"/>
    </row>
    <row r="12" spans="1:29" x14ac:dyDescent="0.3">
      <c r="A12" s="16"/>
      <c r="B12" s="15" t="s">
        <v>189</v>
      </c>
      <c r="C12" s="15" t="s">
        <v>769</v>
      </c>
      <c r="D12" s="15"/>
      <c r="E12" s="15" t="s">
        <v>189</v>
      </c>
      <c r="F12" s="15" t="s">
        <v>770</v>
      </c>
      <c r="G12" s="15"/>
      <c r="H12" s="15" t="s">
        <v>189</v>
      </c>
      <c r="I12" s="15" t="s">
        <v>770</v>
      </c>
      <c r="J12" s="15"/>
      <c r="K12" s="15" t="s">
        <v>189</v>
      </c>
      <c r="L12" s="15" t="s">
        <v>769</v>
      </c>
      <c r="M12" s="15"/>
      <c r="N12" s="15" t="s">
        <v>189</v>
      </c>
      <c r="O12" s="15" t="s">
        <v>769</v>
      </c>
      <c r="P12" s="15"/>
      <c r="Q12" s="15" t="s">
        <v>189</v>
      </c>
      <c r="R12" s="15" t="s">
        <v>769</v>
      </c>
      <c r="S12" s="15"/>
      <c r="T12" s="15" t="s">
        <v>189</v>
      </c>
      <c r="U12" s="15" t="s">
        <v>769</v>
      </c>
      <c r="V12" s="15"/>
    </row>
    <row r="13" spans="1:29" x14ac:dyDescent="0.3">
      <c r="A13" s="16"/>
      <c r="B13" s="15"/>
      <c r="C13" s="1" t="s">
        <v>753</v>
      </c>
      <c r="D13" s="1" t="s">
        <v>765</v>
      </c>
      <c r="E13" s="15"/>
      <c r="F13" s="1" t="s">
        <v>753</v>
      </c>
      <c r="G13" s="1" t="s">
        <v>765</v>
      </c>
      <c r="H13" s="15"/>
      <c r="I13" s="1" t="s">
        <v>753</v>
      </c>
      <c r="J13" s="1" t="s">
        <v>765</v>
      </c>
      <c r="K13" s="15"/>
      <c r="L13" s="1" t="s">
        <v>753</v>
      </c>
      <c r="M13" s="1" t="s">
        <v>765</v>
      </c>
      <c r="N13" s="15"/>
      <c r="O13" s="1" t="s">
        <v>753</v>
      </c>
      <c r="P13" s="1" t="s">
        <v>765</v>
      </c>
      <c r="Q13" s="15"/>
      <c r="R13" s="1" t="s">
        <v>753</v>
      </c>
      <c r="S13" s="1" t="s">
        <v>765</v>
      </c>
      <c r="T13" s="15"/>
      <c r="U13" s="1" t="s">
        <v>753</v>
      </c>
      <c r="V13" s="1" t="s">
        <v>765</v>
      </c>
    </row>
    <row r="14" spans="1:29" x14ac:dyDescent="0.3">
      <c r="A14" s="2" t="s">
        <v>754</v>
      </c>
      <c r="B14" s="5" t="e">
        <f>C3/$B$3</f>
        <v>#REF!</v>
      </c>
      <c r="C14" s="6" t="e">
        <f t="shared" ref="C14:C19" si="16">D3/C3</f>
        <v>#REF!</v>
      </c>
      <c r="D14" s="6" t="e">
        <f>E3/C3</f>
        <v>#REF!</v>
      </c>
      <c r="E14" s="5" t="e">
        <f>G3/$F$3</f>
        <v>#REF!</v>
      </c>
      <c r="F14" s="6" t="e">
        <f>H3/G3</f>
        <v>#REF!</v>
      </c>
      <c r="G14" s="6" t="e">
        <f>I3/G3</f>
        <v>#REF!</v>
      </c>
      <c r="H14" s="5" t="e">
        <f>K3/$J$3</f>
        <v>#REF!</v>
      </c>
      <c r="I14" s="6" t="e">
        <f>L3/K3</f>
        <v>#REF!</v>
      </c>
      <c r="J14" s="6" t="e">
        <f>M3/K3</f>
        <v>#REF!</v>
      </c>
      <c r="K14" s="5" t="e">
        <f t="shared" ref="K14:L17" si="17">O3/N3</f>
        <v>#REF!</v>
      </c>
      <c r="L14" s="6" t="e">
        <f t="shared" si="17"/>
        <v>#REF!</v>
      </c>
      <c r="M14" s="6" t="e">
        <f>Q3/O3</f>
        <v>#REF!</v>
      </c>
      <c r="N14" s="5" t="e">
        <f t="shared" ref="N14:O17" si="18">S3/R3</f>
        <v>#REF!</v>
      </c>
      <c r="O14" s="6" t="e">
        <f t="shared" si="18"/>
        <v>#REF!</v>
      </c>
      <c r="P14" s="6" t="e">
        <f>U3/S3</f>
        <v>#REF!</v>
      </c>
      <c r="Q14" s="5" t="e">
        <f>W3/V3</f>
        <v>#REF!</v>
      </c>
      <c r="R14" s="6" t="e">
        <f t="shared" ref="Q14:R17" si="19">X3/W3</f>
        <v>#REF!</v>
      </c>
      <c r="S14" s="6" t="e">
        <f>Y3/W3</f>
        <v>#REF!</v>
      </c>
      <c r="T14" s="5" t="e">
        <f t="shared" ref="T14:U17" si="20">AA3/Z3</f>
        <v>#REF!</v>
      </c>
      <c r="U14" s="6" t="e">
        <f t="shared" si="20"/>
        <v>#REF!</v>
      </c>
      <c r="V14" s="6" t="e">
        <f>AC3/AA3</f>
        <v>#REF!</v>
      </c>
    </row>
    <row r="15" spans="1:29" x14ac:dyDescent="0.3">
      <c r="A15" s="2" t="s">
        <v>755</v>
      </c>
      <c r="B15" s="5" t="e">
        <f>C4/$B$4</f>
        <v>#REF!</v>
      </c>
      <c r="C15" s="6" t="e">
        <f t="shared" si="16"/>
        <v>#REF!</v>
      </c>
      <c r="D15" s="6" t="e">
        <f>E4/C4</f>
        <v>#REF!</v>
      </c>
      <c r="E15" s="5" t="e">
        <f>G4/$F$4</f>
        <v>#REF!</v>
      </c>
      <c r="F15" s="6" t="e">
        <f>H4/G4</f>
        <v>#REF!</v>
      </c>
      <c r="G15" s="6" t="e">
        <f>I4/G4</f>
        <v>#REF!</v>
      </c>
      <c r="H15" s="5" t="e">
        <f>K4/$J$4</f>
        <v>#REF!</v>
      </c>
      <c r="I15" s="6" t="e">
        <f>L4/K4</f>
        <v>#REF!</v>
      </c>
      <c r="J15" s="6" t="e">
        <f>M4/K4</f>
        <v>#REF!</v>
      </c>
      <c r="K15" s="5" t="e">
        <f t="shared" si="17"/>
        <v>#REF!</v>
      </c>
      <c r="L15" s="6" t="e">
        <f t="shared" si="17"/>
        <v>#REF!</v>
      </c>
      <c r="M15" s="6" t="e">
        <f>Q4/O4</f>
        <v>#REF!</v>
      </c>
      <c r="N15" s="5" t="e">
        <f t="shared" si="18"/>
        <v>#REF!</v>
      </c>
      <c r="O15" s="6" t="e">
        <f t="shared" si="18"/>
        <v>#REF!</v>
      </c>
      <c r="P15" s="6" t="e">
        <f>U4/S4</f>
        <v>#REF!</v>
      </c>
      <c r="Q15" s="5" t="e">
        <f t="shared" si="19"/>
        <v>#REF!</v>
      </c>
      <c r="R15" s="6" t="e">
        <f t="shared" si="19"/>
        <v>#REF!</v>
      </c>
      <c r="S15" s="6" t="e">
        <f>Y4/W4</f>
        <v>#REF!</v>
      </c>
      <c r="T15" s="5" t="e">
        <f t="shared" si="20"/>
        <v>#REF!</v>
      </c>
      <c r="U15" s="6" t="e">
        <f t="shared" si="20"/>
        <v>#REF!</v>
      </c>
      <c r="V15" s="6" t="e">
        <f>AC4/AA4</f>
        <v>#REF!</v>
      </c>
    </row>
    <row r="16" spans="1:29" x14ac:dyDescent="0.3">
      <c r="A16" s="2" t="s">
        <v>756</v>
      </c>
      <c r="B16" s="5" t="e">
        <f>C5/$B$5</f>
        <v>#REF!</v>
      </c>
      <c r="C16" s="6" t="e">
        <f t="shared" si="16"/>
        <v>#REF!</v>
      </c>
      <c r="D16" s="6" t="e">
        <f>E5/C5</f>
        <v>#REF!</v>
      </c>
      <c r="E16" s="5" t="e">
        <f>G5/$F$5</f>
        <v>#REF!</v>
      </c>
      <c r="F16" s="6" t="e">
        <f>H5/G5</f>
        <v>#REF!</v>
      </c>
      <c r="G16" s="6" t="e">
        <f>I5/G5</f>
        <v>#REF!</v>
      </c>
      <c r="H16" s="5" t="e">
        <f>K5/$J$5</f>
        <v>#REF!</v>
      </c>
      <c r="I16" s="6" t="e">
        <f>L5/K5</f>
        <v>#REF!</v>
      </c>
      <c r="J16" s="6" t="e">
        <f>M5/K5</f>
        <v>#REF!</v>
      </c>
      <c r="K16" s="5" t="e">
        <f t="shared" si="17"/>
        <v>#REF!</v>
      </c>
      <c r="L16" s="6" t="e">
        <f t="shared" si="17"/>
        <v>#REF!</v>
      </c>
      <c r="M16" s="6" t="e">
        <f>Q5/O5</f>
        <v>#REF!</v>
      </c>
      <c r="N16" s="5" t="e">
        <f t="shared" si="18"/>
        <v>#REF!</v>
      </c>
      <c r="O16" s="6" t="e">
        <f t="shared" si="18"/>
        <v>#REF!</v>
      </c>
      <c r="P16" s="6" t="e">
        <f>U5/S5</f>
        <v>#REF!</v>
      </c>
      <c r="Q16" s="5" t="e">
        <f t="shared" si="19"/>
        <v>#REF!</v>
      </c>
      <c r="R16" s="6" t="e">
        <f t="shared" si="19"/>
        <v>#REF!</v>
      </c>
      <c r="S16" s="6" t="e">
        <f>Y5/W5</f>
        <v>#REF!</v>
      </c>
      <c r="T16" s="5" t="e">
        <f t="shared" si="20"/>
        <v>#REF!</v>
      </c>
      <c r="U16" s="6" t="e">
        <f t="shared" si="20"/>
        <v>#REF!</v>
      </c>
      <c r="V16" s="6" t="e">
        <f>AC5/AA5</f>
        <v>#REF!</v>
      </c>
    </row>
    <row r="17" spans="1:22" x14ac:dyDescent="0.3">
      <c r="A17" s="2" t="s">
        <v>773</v>
      </c>
      <c r="B17" s="5" t="e">
        <f>C6/$B$6</f>
        <v>#REF!</v>
      </c>
      <c r="C17" s="6" t="e">
        <f t="shared" si="16"/>
        <v>#REF!</v>
      </c>
      <c r="D17" s="6" t="e">
        <f>E6/C6</f>
        <v>#REF!</v>
      </c>
      <c r="E17" s="5" t="e">
        <f>G6/$F$6</f>
        <v>#REF!</v>
      </c>
      <c r="F17" s="6" t="e">
        <f>H6/G6</f>
        <v>#REF!</v>
      </c>
      <c r="G17" s="6" t="e">
        <f>I6/G6</f>
        <v>#REF!</v>
      </c>
      <c r="H17" s="5" t="e">
        <f>K6/$J$6</f>
        <v>#REF!</v>
      </c>
      <c r="I17" s="6" t="e">
        <f>L6/K6</f>
        <v>#REF!</v>
      </c>
      <c r="J17" s="6" t="e">
        <f>M6/K6</f>
        <v>#REF!</v>
      </c>
      <c r="K17" s="5" t="e">
        <f t="shared" si="17"/>
        <v>#REF!</v>
      </c>
      <c r="L17" s="6" t="e">
        <f t="shared" si="17"/>
        <v>#REF!</v>
      </c>
      <c r="M17" s="6" t="e">
        <f>Q6/O6</f>
        <v>#REF!</v>
      </c>
      <c r="N17" s="5" t="e">
        <f t="shared" si="18"/>
        <v>#REF!</v>
      </c>
      <c r="O17" s="6" t="e">
        <f t="shared" si="18"/>
        <v>#REF!</v>
      </c>
      <c r="P17" s="6" t="e">
        <f>U6/S6</f>
        <v>#REF!</v>
      </c>
      <c r="Q17" s="5" t="e">
        <f t="shared" si="19"/>
        <v>#REF!</v>
      </c>
      <c r="R17" s="6" t="e">
        <f t="shared" si="19"/>
        <v>#REF!</v>
      </c>
      <c r="S17" s="6" t="e">
        <f>Y6/W6</f>
        <v>#REF!</v>
      </c>
      <c r="T17" s="5" t="e">
        <f t="shared" si="20"/>
        <v>#REF!</v>
      </c>
      <c r="U17" s="6" t="e">
        <f t="shared" si="20"/>
        <v>#REF!</v>
      </c>
      <c r="V17" s="6" t="e">
        <f>AC6/AA6</f>
        <v>#REF!</v>
      </c>
    </row>
    <row r="18" spans="1:22" x14ac:dyDescent="0.3">
      <c r="A18" s="2" t="s">
        <v>757</v>
      </c>
      <c r="B18" s="5" t="e">
        <f>C7/$B$7</f>
        <v>#REF!</v>
      </c>
      <c r="C18" s="6" t="e">
        <f t="shared" si="16"/>
        <v>#REF!</v>
      </c>
      <c r="D18" s="6" t="e">
        <f t="shared" ref="D18:D20" si="21">E7/C7</f>
        <v>#REF!</v>
      </c>
      <c r="E18" s="5" t="e">
        <f>G7/$F$7</f>
        <v>#REF!</v>
      </c>
      <c r="F18" s="6" t="e">
        <f t="shared" ref="F18:F20" si="22">H7/G7</f>
        <v>#REF!</v>
      </c>
      <c r="G18" s="6" t="e">
        <f t="shared" ref="G18:G20" si="23">I7/G7</f>
        <v>#REF!</v>
      </c>
      <c r="H18" s="5" t="e">
        <f>K7/$J$7</f>
        <v>#REF!</v>
      </c>
      <c r="I18" s="6" t="e">
        <f t="shared" ref="I18:I20" si="24">L7/K7</f>
        <v>#REF!</v>
      </c>
      <c r="J18" s="6" t="e">
        <f t="shared" ref="J18:J20" si="25">M7/K7</f>
        <v>#REF!</v>
      </c>
      <c r="K18" s="5" t="e">
        <f t="shared" ref="K18:L20" si="26">O7/N7</f>
        <v>#REF!</v>
      </c>
      <c r="L18" s="6" t="e">
        <f t="shared" si="26"/>
        <v>#REF!</v>
      </c>
      <c r="M18" s="6" t="e">
        <f t="shared" ref="M18:M20" si="27">Q7/O7</f>
        <v>#REF!</v>
      </c>
      <c r="N18" s="5" t="e">
        <f t="shared" ref="N18:O20" si="28">S7/R7</f>
        <v>#REF!</v>
      </c>
      <c r="O18" s="6" t="e">
        <f t="shared" si="28"/>
        <v>#REF!</v>
      </c>
      <c r="P18" s="6" t="e">
        <f t="shared" ref="P18:P20" si="29">U7/S7</f>
        <v>#REF!</v>
      </c>
      <c r="Q18" s="5" t="e">
        <f t="shared" ref="Q18:R20" si="30">W7/V7</f>
        <v>#REF!</v>
      </c>
      <c r="R18" s="6" t="e">
        <f t="shared" si="30"/>
        <v>#REF!</v>
      </c>
      <c r="S18" s="6" t="e">
        <f t="shared" ref="S18:S20" si="31">Y7/W7</f>
        <v>#REF!</v>
      </c>
      <c r="T18" s="5" t="e">
        <f t="shared" ref="T18:U19" si="32">AA7/Z7</f>
        <v>#REF!</v>
      </c>
      <c r="U18" s="6" t="e">
        <f t="shared" si="32"/>
        <v>#REF!</v>
      </c>
      <c r="V18" s="6" t="e">
        <f>AC7/AA7</f>
        <v>#REF!</v>
      </c>
    </row>
    <row r="19" spans="1:22" x14ac:dyDescent="0.3">
      <c r="A19" s="2" t="s">
        <v>766</v>
      </c>
      <c r="B19" s="5" t="e">
        <f>C8/$B$8</f>
        <v>#REF!</v>
      </c>
      <c r="C19" s="6" t="e">
        <f t="shared" si="16"/>
        <v>#REF!</v>
      </c>
      <c r="D19" s="6" t="e">
        <f>E8/C8</f>
        <v>#REF!</v>
      </c>
      <c r="E19" s="5" t="e">
        <f>G8/$F$8</f>
        <v>#REF!</v>
      </c>
      <c r="F19" s="6" t="e">
        <f t="shared" si="22"/>
        <v>#REF!</v>
      </c>
      <c r="G19" s="6" t="e">
        <f t="shared" si="23"/>
        <v>#REF!</v>
      </c>
      <c r="H19" s="5" t="e">
        <f>K8/$J$8</f>
        <v>#REF!</v>
      </c>
      <c r="I19" s="6" t="e">
        <f t="shared" si="24"/>
        <v>#REF!</v>
      </c>
      <c r="J19" s="6" t="e">
        <f t="shared" si="25"/>
        <v>#REF!</v>
      </c>
      <c r="K19" s="5" t="e">
        <f t="shared" si="26"/>
        <v>#REF!</v>
      </c>
      <c r="L19" s="6" t="e">
        <f t="shared" si="26"/>
        <v>#REF!</v>
      </c>
      <c r="M19" s="6" t="e">
        <f t="shared" si="27"/>
        <v>#REF!</v>
      </c>
      <c r="N19" s="5" t="e">
        <f t="shared" si="28"/>
        <v>#REF!</v>
      </c>
      <c r="O19" s="6" t="e">
        <f t="shared" si="28"/>
        <v>#REF!</v>
      </c>
      <c r="P19" s="6" t="e">
        <f t="shared" si="29"/>
        <v>#REF!</v>
      </c>
      <c r="Q19" s="5" t="e">
        <f t="shared" si="30"/>
        <v>#REF!</v>
      </c>
      <c r="R19" s="6" t="e">
        <f t="shared" si="30"/>
        <v>#REF!</v>
      </c>
      <c r="S19" s="6" t="e">
        <f t="shared" si="31"/>
        <v>#REF!</v>
      </c>
      <c r="T19" s="5" t="e">
        <f>AA8/Z8</f>
        <v>#REF!</v>
      </c>
      <c r="U19" s="6" t="e">
        <f t="shared" si="32"/>
        <v>#REF!</v>
      </c>
      <c r="V19" s="6" t="e">
        <f t="shared" ref="V19" si="33">AC8/AA8</f>
        <v>#REF!</v>
      </c>
    </row>
    <row r="20" spans="1:22" x14ac:dyDescent="0.3">
      <c r="A20" s="2" t="s">
        <v>767</v>
      </c>
      <c r="B20" s="5" t="e">
        <f>C9/$B$9</f>
        <v>#REF!</v>
      </c>
      <c r="C20" s="6" t="e">
        <f t="shared" ref="C20" si="34">D9/C9</f>
        <v>#REF!</v>
      </c>
      <c r="D20" s="6" t="e">
        <f t="shared" si="21"/>
        <v>#REF!</v>
      </c>
      <c r="E20" s="5" t="e">
        <f>G9/$F$9</f>
        <v>#REF!</v>
      </c>
      <c r="F20" s="6" t="e">
        <f t="shared" si="22"/>
        <v>#REF!</v>
      </c>
      <c r="G20" s="6" t="e">
        <f t="shared" si="23"/>
        <v>#REF!</v>
      </c>
      <c r="H20" s="5" t="e">
        <f>K9/$J$9</f>
        <v>#REF!</v>
      </c>
      <c r="I20" s="6" t="e">
        <f t="shared" si="24"/>
        <v>#REF!</v>
      </c>
      <c r="J20" s="6" t="e">
        <f t="shared" si="25"/>
        <v>#REF!</v>
      </c>
      <c r="K20" s="5" t="e">
        <f t="shared" si="26"/>
        <v>#REF!</v>
      </c>
      <c r="L20" s="6" t="e">
        <f t="shared" si="26"/>
        <v>#REF!</v>
      </c>
      <c r="M20" s="6" t="e">
        <f t="shared" si="27"/>
        <v>#REF!</v>
      </c>
      <c r="N20" s="5" t="e">
        <f t="shared" si="28"/>
        <v>#REF!</v>
      </c>
      <c r="O20" s="6" t="e">
        <f t="shared" si="28"/>
        <v>#REF!</v>
      </c>
      <c r="P20" s="6" t="e">
        <f t="shared" si="29"/>
        <v>#REF!</v>
      </c>
      <c r="Q20" s="5" t="e">
        <f t="shared" si="30"/>
        <v>#REF!</v>
      </c>
      <c r="R20" s="6" t="e">
        <f t="shared" si="30"/>
        <v>#REF!</v>
      </c>
      <c r="S20" s="6" t="e">
        <f t="shared" si="31"/>
        <v>#REF!</v>
      </c>
      <c r="T20" s="5" t="e">
        <f>AA9/Z9</f>
        <v>#REF!</v>
      </c>
      <c r="U20" s="6" t="e">
        <f>AB9/AA9</f>
        <v>#REF!</v>
      </c>
      <c r="V20" s="6" t="e">
        <f>AC9/AA9</f>
        <v>#REF!</v>
      </c>
    </row>
  </sheetData>
  <mergeCells count="30">
    <mergeCell ref="R1:U1"/>
    <mergeCell ref="I12:J12"/>
    <mergeCell ref="V1:Y1"/>
    <mergeCell ref="Z1:AC1"/>
    <mergeCell ref="A11:A13"/>
    <mergeCell ref="B11:D11"/>
    <mergeCell ref="E11:G11"/>
    <mergeCell ref="H11:J11"/>
    <mergeCell ref="K11:M11"/>
    <mergeCell ref="N11:P11"/>
    <mergeCell ref="Q11:S11"/>
    <mergeCell ref="T11:V11"/>
    <mergeCell ref="A1:A2"/>
    <mergeCell ref="B1:E1"/>
    <mergeCell ref="F1:I1"/>
    <mergeCell ref="J1:M1"/>
    <mergeCell ref="N1:Q1"/>
    <mergeCell ref="B12:B13"/>
    <mergeCell ref="C12:D12"/>
    <mergeCell ref="E12:E13"/>
    <mergeCell ref="F12:G12"/>
    <mergeCell ref="H12:H13"/>
    <mergeCell ref="T12:T13"/>
    <mergeCell ref="U12:V12"/>
    <mergeCell ref="K12:K13"/>
    <mergeCell ref="L12:M12"/>
    <mergeCell ref="N12:N13"/>
    <mergeCell ref="O12:P12"/>
    <mergeCell ref="Q12:Q13"/>
    <mergeCell ref="R12:S12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2026최종정리(전분원)</vt:lpstr>
      <vt:lpstr>통계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</dc:creator>
  <cp:lastModifiedBy>J_H.Hwang</cp:lastModifiedBy>
  <dcterms:created xsi:type="dcterms:W3CDTF">2026-02-19T00:53:53Z</dcterms:created>
  <dcterms:modified xsi:type="dcterms:W3CDTF">2026-06-25T02:22:02Z</dcterms:modified>
</cp:coreProperties>
</file>